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aw_Data" sheetId="2" state="visible" r:id="rId4"/>
    <sheet name="City_Summary" sheetId="3" state="visible" r:id="rId5"/>
    <sheet name="Year_Trend" sheetId="4" state="visible" r:id="rId6"/>
    <sheet name="City_Comparison" sheetId="5" state="visible" r:id="rId7"/>
    <sheet name="AQI_Category_Mix" sheetId="6" state="visible" r:id="rId8"/>
    <sheet name="Dashboard" sheetId="7" state="visible" r:id="rId9"/>
    <sheet name="State_Wise_2024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<sst xmlns="http://schemas.openxmlformats.org/spreadsheetml/2006/main" count="679" uniqueCount="147">
  <si>
    <t xml:space="preserve">Air Pollution Trends in Major Indian Cities (2015–2024)</t>
  </si>
  <si>
    <t xml:space="preserve">Environment &amp; Sustainability | Data Analysis Project</t>
  </si>
  <si>
    <t xml:space="preserve">Scope: Annual PM2.5, PM10 and Air Quality Index (AQI) trends across 8 major Indian cities</t>
  </si>
  <si>
    <t xml:space="preserve">spanning five regions (North, South, East, West) over a 10-year period.</t>
  </si>
  <si>
    <t xml:space="preserve">Cities covered: Delhi, Lucknow, Kolkata, Ahmedabad, Mumbai, Hyderabad, Bengaluru, Chennai</t>
  </si>
  <si>
    <t xml:space="preserve">Data sources:</t>
  </si>
  <si>
    <t xml:space="preserve">  1. CPCB (Central Pollution Control Board) - CAAQM continuous monitoring bulletins &amp; NAQI</t>
  </si>
  <si>
    <t xml:space="preserve">  2. US EPA AirNow - US Embassy/Consulate monitors (Delhi, Mumbai, Kolkata, Hyderabad, Chennai)</t>
  </si>
  <si>
    <t xml:space="preserve">  3. IQAir World Air Quality Report (2019, 2023, 2024 editions)</t>
  </si>
  <si>
    <t xml:space="preserve">  4. UrbanEmissions.info - India NCAP AQI city archive (2015-2023) &amp; NCAP non-attainment</t>
  </si>
  <si>
    <t xml:space="preserve">     city counts by state (Maharashtra 19, Uttar Pradesh 17, Karnataka 4, Odisha 6, etc.)</t>
  </si>
  <si>
    <t xml:space="preserve">Methodology note: Years marked 'Reported' in the Raw_Data sheet correspond to a directly</t>
  </si>
  <si>
    <t xml:space="preserve">published annual figure from the sources above. Years marked 'Interpolated' are estimated</t>
  </si>
  <si>
    <t xml:space="preserve">by linear interpolation between the nearest reported anchor years, to build a continuous</t>
  </si>
  <si>
    <t xml:space="preserve">annual series suitable for trend analysis. AQI values are derived from PM2.5 using the</t>
  </si>
  <si>
    <t xml:space="preserve">official CPCB National AQI sub-index breakpoints, applied to annual averages.</t>
  </si>
  <si>
    <t xml:space="preserve">Sheets in this workbook:</t>
  </si>
  <si>
    <t xml:space="preserve">  - Raw_Data          : full 8-city x 10-year dataset (source data file)</t>
  </si>
  <si>
    <t xml:space="preserve">  - City_Summary      : per-city averages, min/max, % change 2015-&gt;2024</t>
  </si>
  <si>
    <t xml:space="preserve">  - Year_Trend        : national (8-city average) trend by year + chart</t>
  </si>
  <si>
    <t xml:space="preserve">  - City_Comparison   : city-wise PM2.5 trend chart</t>
  </si>
  <si>
    <t xml:space="preserve">  - AQI_Category_Mix  : count of city-years in each AQI category + chart</t>
  </si>
  <si>
    <t xml:space="preserve">  - State_Wise_2024   : all 28 states + 8 UTs, 2024 PM2.5/PM10/AQI + NCAP status + chart</t>
  </si>
  <si>
    <t xml:space="preserve">  - Dashboard         : single-page visual summary</t>
  </si>
  <si>
    <t xml:space="preserve">Year</t>
  </si>
  <si>
    <t xml:space="preserve">City</t>
  </si>
  <si>
    <t xml:space="preserve">State</t>
  </si>
  <si>
    <t xml:space="preserve">Region</t>
  </si>
  <si>
    <t xml:space="preserve">PM2.5 (ug/m3)</t>
  </si>
  <si>
    <t xml:space="preserve">PM10 (ug/m3)</t>
  </si>
  <si>
    <t xml:space="preserve">AQI</t>
  </si>
  <si>
    <t xml:space="preserve">AQI_Category</t>
  </si>
  <si>
    <t xml:space="preserve">Data_Notes</t>
  </si>
  <si>
    <t xml:space="preserve">Delhi</t>
  </si>
  <si>
    <t xml:space="preserve">North</t>
  </si>
  <si>
    <t xml:space="preserve">Poor</t>
  </si>
  <si>
    <t xml:space="preserve">Interpolated between reported anchor years</t>
  </si>
  <si>
    <t xml:space="preserve">Reported (CPCB/IQAir published figure)</t>
  </si>
  <si>
    <t xml:space="preserve">Moderate</t>
  </si>
  <si>
    <t xml:space="preserve">Lucknow</t>
  </si>
  <si>
    <t xml:space="preserve">Uttar Pradesh</t>
  </si>
  <si>
    <t xml:space="preserve">Kolkata</t>
  </si>
  <si>
    <t xml:space="preserve">West Bengal</t>
  </si>
  <si>
    <t xml:space="preserve">East</t>
  </si>
  <si>
    <t xml:space="preserve">Satisfactory</t>
  </si>
  <si>
    <t xml:space="preserve">Ahmedabad</t>
  </si>
  <si>
    <t xml:space="preserve">Gujarat</t>
  </si>
  <si>
    <t xml:space="preserve">West</t>
  </si>
  <si>
    <t xml:space="preserve">Mumbai</t>
  </si>
  <si>
    <t xml:space="preserve">Maharashtra</t>
  </si>
  <si>
    <t xml:space="preserve">Hyderabad</t>
  </si>
  <si>
    <t xml:space="preserve">Telangana</t>
  </si>
  <si>
    <t xml:space="preserve">South</t>
  </si>
  <si>
    <t xml:space="preserve">Good</t>
  </si>
  <si>
    <t xml:space="preserve">Bengaluru</t>
  </si>
  <si>
    <t xml:space="preserve">Karnataka</t>
  </si>
  <si>
    <t xml:space="preserve">Chennai</t>
  </si>
  <si>
    <t xml:space="preserve">Tamil Nadu</t>
  </si>
  <si>
    <t xml:space="preserve">Avg PM2.5 (2015-24)</t>
  </si>
  <si>
    <t xml:space="preserve">Min PM2.5</t>
  </si>
  <si>
    <t xml:space="preserve">Max PM2.5</t>
  </si>
  <si>
    <t xml:space="preserve">PM2.5 in 2015</t>
  </si>
  <si>
    <t xml:space="preserve">PM2.5 in 2024</t>
  </si>
  <si>
    <t xml:space="preserve">% Change 2015-&gt;2024</t>
  </si>
  <si>
    <t xml:space="preserve">Avg AQI</t>
  </si>
  <si>
    <t xml:space="preserve">Dominant Category</t>
  </si>
  <si>
    <t xml:space="preserve">Very Poor</t>
  </si>
  <si>
    <t xml:space="preserve">Severe</t>
  </si>
  <si>
    <t xml:space="preserve">Note: columns N:S are helper counts (per-category city-year counts) used by the Dominant Category formula in column M; kept visible for transparency.</t>
  </si>
  <si>
    <t xml:space="preserve">Avg PM2.5 (8-city)</t>
  </si>
  <si>
    <t xml:space="preserve">Avg PM10 (8-city)</t>
  </si>
  <si>
    <t xml:space="preserve">Avg AQI (8-city)</t>
  </si>
  <si>
    <t xml:space="preserve">AQI Category</t>
  </si>
  <si>
    <t xml:space="preserve">Count of City-Years</t>
  </si>
  <si>
    <t xml:space="preserve">Air Pollution Trends in Major Indian Cities — Dashboard</t>
  </si>
  <si>
    <t xml:space="preserve">8 cities | 2015-2024 | PM2.5, PM10 &amp; AQI</t>
  </si>
  <si>
    <t xml:space="preserve">National avg PM2.5 (2024)</t>
  </si>
  <si>
    <t xml:space="preserve">National avg PM2.5 (2015)</t>
  </si>
  <si>
    <t xml:space="preserve">Overall % change 2015-&gt;2024</t>
  </si>
  <si>
    <t xml:space="preserve">Most polluted city (avg)</t>
  </si>
  <si>
    <t xml:space="preserve">Cleanest city (avg)</t>
  </si>
  <si>
    <t xml:space="preserve">Charts: see Year_Trend, City_Comparison and AQI_Category_Mix sheets (linked, update automatically).</t>
  </si>
  <si>
    <t xml:space="preserve">Representative_City</t>
  </si>
  <si>
    <t xml:space="preserve">PM2.5_2024 (ug/m3)</t>
  </si>
  <si>
    <t xml:space="preserve">PM10_2024 (ug/m3)</t>
  </si>
  <si>
    <t xml:space="preserve">AQI_2024</t>
  </si>
  <si>
    <t xml:space="preserve">NCAP_Non_Attainment_State</t>
  </si>
  <si>
    <t xml:space="preserve">NCAP_Non_Attainment_Cities_Count</t>
  </si>
  <si>
    <t xml:space="preserve">Yes</t>
  </si>
  <si>
    <t xml:space="preserve">Haryana</t>
  </si>
  <si>
    <t xml:space="preserve">Faridabad</t>
  </si>
  <si>
    <t xml:space="preserve">Bihar</t>
  </si>
  <si>
    <t xml:space="preserve">Patna</t>
  </si>
  <si>
    <t xml:space="preserve">Punjab</t>
  </si>
  <si>
    <t xml:space="preserve">Amritsar</t>
  </si>
  <si>
    <t xml:space="preserve">Chandigarh</t>
  </si>
  <si>
    <t xml:space="preserve">Rajasthan</t>
  </si>
  <si>
    <t xml:space="preserve">Jaipur</t>
  </si>
  <si>
    <t xml:space="preserve">Chhattisgarh</t>
  </si>
  <si>
    <t xml:space="preserve">Central</t>
  </si>
  <si>
    <t xml:space="preserve">Raipur</t>
  </si>
  <si>
    <t xml:space="preserve">Jharkhand</t>
  </si>
  <si>
    <t xml:space="preserve">Ranchi</t>
  </si>
  <si>
    <t xml:space="preserve">Madhya Pradesh</t>
  </si>
  <si>
    <t xml:space="preserve">Bhopal</t>
  </si>
  <si>
    <t xml:space="preserve">Uttarakhand</t>
  </si>
  <si>
    <t xml:space="preserve">Dehradun</t>
  </si>
  <si>
    <t xml:space="preserve">Meghalaya</t>
  </si>
  <si>
    <t xml:space="preserve">Northeast</t>
  </si>
  <si>
    <t xml:space="preserve">Shillong</t>
  </si>
  <si>
    <t xml:space="preserve">Odisha</t>
  </si>
  <si>
    <t xml:space="preserve">Bhubaneswar</t>
  </si>
  <si>
    <t xml:space="preserve">Assam</t>
  </si>
  <si>
    <t xml:space="preserve">Guwahati</t>
  </si>
  <si>
    <t xml:space="preserve">Jammu and Kashmir</t>
  </si>
  <si>
    <t xml:space="preserve">Srinagar</t>
  </si>
  <si>
    <t xml:space="preserve">Dadra and Nagar Haveli and Daman and Diu</t>
  </si>
  <si>
    <t xml:space="preserve">Silvassa</t>
  </si>
  <si>
    <t xml:space="preserve">No</t>
  </si>
  <si>
    <t xml:space="preserve">Andhra Pradesh</t>
  </si>
  <si>
    <t xml:space="preserve">Vijayawada</t>
  </si>
  <si>
    <t xml:space="preserve">Himachal Pradesh</t>
  </si>
  <si>
    <t xml:space="preserve">Shimla</t>
  </si>
  <si>
    <t xml:space="preserve">Tripura</t>
  </si>
  <si>
    <t xml:space="preserve">Agartala</t>
  </si>
  <si>
    <t xml:space="preserve">Goa</t>
  </si>
  <si>
    <t xml:space="preserve">Panaji</t>
  </si>
  <si>
    <t xml:space="preserve">Manipur</t>
  </si>
  <si>
    <t xml:space="preserve">Imphal</t>
  </si>
  <si>
    <t xml:space="preserve">Puducherry</t>
  </si>
  <si>
    <t xml:space="preserve">Ladakh</t>
  </si>
  <si>
    <t xml:space="preserve">Leh</t>
  </si>
  <si>
    <t xml:space="preserve">Arunachal Pradesh</t>
  </si>
  <si>
    <t xml:space="preserve">Itanagar</t>
  </si>
  <si>
    <t xml:space="preserve">Nagaland</t>
  </si>
  <si>
    <t xml:space="preserve">Kohima</t>
  </si>
  <si>
    <t xml:space="preserve">Kerala</t>
  </si>
  <si>
    <t xml:space="preserve">Thiruvananthapuram</t>
  </si>
  <si>
    <t xml:space="preserve">Mizoram</t>
  </si>
  <si>
    <t xml:space="preserve">Aizawl</t>
  </si>
  <si>
    <t xml:space="preserve">Andaman and Nicobar Islands</t>
  </si>
  <si>
    <t xml:space="preserve">Port Blair</t>
  </si>
  <si>
    <t xml:space="preserve">Sikkim</t>
  </si>
  <si>
    <t xml:space="preserve">Gangtok</t>
  </si>
  <si>
    <t xml:space="preserve">Lakshadweep</t>
  </si>
  <si>
    <t xml:space="preserve">Kavaratti</t>
  </si>
  <si>
    <t xml:space="preserve">State-level snapshot for 2024, representative-city PM2.5 (state capital / largest monitored city used as proxy where no consolidated state-wide network average is public). NCAP status and non-attainment city counts from published NCAP reviews (UrbanEmissions.info, ScienceDirect). See Cover sheet methodology note.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</si>
</sst>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FC17B"/>
          <bgColor rgb="FF000000"/>
        </patternFill>
      </fill>
    </dxf>
    <dxf>
      <fill>
        <patternFill patternType="solid">
          <fgColor rgb="FF81C67C"/>
          <bgColor rgb="FF000000"/>
        </patternFill>
      </fill>
    </dxf>
    <dxf>
      <fill>
        <patternFill patternType="solid">
          <fgColor rgb="FF87C87D"/>
          <bgColor rgb="FF000000"/>
        </patternFill>
      </fill>
    </dxf>
    <dxf>
      <fill>
        <patternFill patternType="solid">
          <fgColor rgb="FF8DCA7D"/>
          <bgColor rgb="FF000000"/>
        </patternFill>
      </fill>
    </dxf>
    <dxf>
      <fill>
        <patternFill patternType="solid">
          <fgColor rgb="FF93CC7D"/>
          <bgColor rgb="FF000000"/>
        </patternFill>
      </fill>
    </dxf>
    <dxf>
      <fill>
        <patternFill patternType="solid">
          <fgColor rgb="FF9ACD7E"/>
          <bgColor rgb="FF000000"/>
        </patternFill>
      </fill>
    </dxf>
    <dxf>
      <fill>
        <patternFill patternType="solid">
          <fgColor rgb="FFA0CF7E"/>
          <bgColor rgb="FF000000"/>
        </patternFill>
      </fill>
    </dxf>
    <dxf>
      <fill>
        <patternFill patternType="solid">
          <fgColor rgb="FFA6D17E"/>
          <bgColor rgb="FF000000"/>
        </patternFill>
      </fill>
    </dxf>
    <dxf>
      <fill>
        <patternFill patternType="solid">
          <fgColor rgb="FFACD37F"/>
          <bgColor rgb="FF000000"/>
        </patternFill>
      </fill>
    </dxf>
    <dxf>
      <fill>
        <patternFill patternType="solid">
          <fgColor rgb="FFB2D47F"/>
          <bgColor rgb="FF000000"/>
        </patternFill>
      </fill>
    </dxf>
    <dxf>
      <fill>
        <patternFill patternType="solid">
          <fgColor rgb="FFB8D67F"/>
          <bgColor rgb="FF000000"/>
        </patternFill>
      </fill>
    </dxf>
    <dxf>
      <fill>
        <patternFill patternType="solid">
          <fgColor rgb="FFBED880"/>
          <bgColor rgb="FF000000"/>
        </patternFill>
      </fill>
    </dxf>
    <dxf>
      <fill>
        <patternFill patternType="solid">
          <fgColor rgb="FFC4DA80"/>
          <bgColor rgb="FF000000"/>
        </patternFill>
      </fill>
    </dxf>
    <dxf>
      <fill>
        <patternFill patternType="solid">
          <fgColor rgb="FFD7DF81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E3E382"/>
          <bgColor rgb="FF000000"/>
        </patternFill>
      </fill>
    </dxf>
    <dxf>
      <fill>
        <patternFill patternType="solid">
          <fgColor rgb="FFE9E482"/>
          <bgColor rgb="FF000000"/>
        </patternFill>
      </fill>
    </dxf>
    <dxf>
      <fill>
        <patternFill patternType="solid">
          <fgColor rgb="FFEFE683"/>
          <bgColor rgb="FF000000"/>
        </patternFill>
      </fill>
    </dxf>
    <dxf>
      <fill>
        <patternFill patternType="solid">
          <fgColor rgb="FFF5E8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716D"/>
          <bgColor rgb="FF000000"/>
        </patternFill>
      </fill>
    </dxf>
    <dxf>
      <fill>
        <patternFill patternType="solid">
          <fgColor rgb="FFF9746E"/>
          <bgColor rgb="FF000000"/>
        </patternFill>
      </fill>
    </dxf>
    <dxf>
      <fill>
        <patternFill patternType="solid">
          <fgColor rgb="FFF9786E"/>
          <bgColor rgb="FF000000"/>
        </patternFill>
      </fill>
    </dxf>
    <dxf>
      <fill>
        <patternFill patternType="solid">
          <fgColor rgb="FFFA8370"/>
          <bgColor rgb="FF000000"/>
        </patternFill>
      </fill>
    </dxf>
    <dxf>
      <fill>
        <patternFill patternType="solid">
          <fgColor rgb="FFFA8771"/>
          <bgColor rgb="FF000000"/>
        </patternFill>
      </fill>
    </dxf>
    <dxf>
      <fill>
        <patternFill patternType="solid">
          <fgColor rgb="FFFA8C72"/>
          <bgColor rgb="FF000000"/>
        </patternFill>
      </fill>
    </dxf>
    <dxf>
      <fill>
        <patternFill patternType="solid">
          <fgColor rgb="FFFB9073"/>
          <bgColor rgb="FF000000"/>
        </patternFill>
      </fill>
    </dxf>
    <dxf>
      <fill>
        <patternFill patternType="solid">
          <fgColor rgb="FFFB9374"/>
          <bgColor rgb="FF000000"/>
        </patternFill>
      </fill>
    </dxf>
    <dxf>
      <fill>
        <patternFill patternType="solid">
          <fgColor rgb="FFFB9B75"/>
          <bgColor rgb="FF000000"/>
        </patternFill>
      </fill>
    </dxf>
    <dxf>
      <fill>
        <patternFill patternType="solid">
          <fgColor rgb="FFFB9E76"/>
          <bgColor rgb="FF000000"/>
        </patternFill>
      </fill>
    </dxf>
    <dxf>
      <fill>
        <patternFill patternType="solid">
          <fgColor rgb="FFFBEA83"/>
          <bgColor rgb="FF000000"/>
        </patternFill>
      </fill>
    </dxf>
    <dxf>
      <fill>
        <patternFill patternType="solid">
          <fgColor rgb="FFFCA276"/>
          <bgColor rgb="FF000000"/>
        </patternFill>
      </fill>
    </dxf>
    <dxf>
      <fill>
        <patternFill patternType="solid">
          <fgColor rgb="FFFCA577"/>
          <bgColor rgb="FF000000"/>
        </patternFill>
      </fill>
    </dxf>
    <dxf>
      <fill>
        <patternFill patternType="solid">
          <fgColor rgb="FFFCA777"/>
          <bgColor rgb="FF000000"/>
        </patternFill>
      </fill>
    </dxf>
    <dxf>
      <fill>
        <patternFill patternType="solid">
          <fgColor rgb="FFFCA978"/>
          <bgColor rgb="FF000000"/>
        </patternFill>
      </fill>
    </dxf>
    <dxf>
      <fill>
        <patternFill patternType="solid">
          <fgColor rgb="FFFDC37D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ECC7E"/>
          <bgColor rgb="FF000000"/>
        </patternFill>
      </fill>
    </dxf>
    <dxf>
      <fill>
        <patternFill patternType="solid">
          <fgColor rgb="FFFECD7F"/>
          <bgColor rgb="FF000000"/>
        </patternFill>
      </fill>
    </dxf>
    <dxf>
      <fill>
        <patternFill patternType="solid">
          <fgColor rgb="FFFED17F"/>
          <bgColor rgb="FF000000"/>
        </patternFill>
      </fill>
    </dxf>
    <dxf>
      <fill>
        <patternFill patternType="solid">
          <fgColor rgb="FFFED580"/>
          <bgColor rgb="FF000000"/>
        </patternFill>
      </fill>
    </dxf>
    <dxf>
      <fill>
        <patternFill patternType="solid">
          <fgColor rgb="FFFED881"/>
          <bgColor rgb="FF000000"/>
        </patternFill>
      </fill>
    </dxf>
    <dxf>
      <fill>
        <patternFill patternType="solid">
          <fgColor rgb="FFFFDA81"/>
          <bgColor rgb="FF000000"/>
        </patternFill>
      </fill>
    </dxf>
    <dxf>
      <fill>
        <patternFill patternType="solid">
          <fgColor rgb="FFFFDC82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FFE183"/>
          <bgColor rgb="FF000000"/>
        </patternFill>
      </fill>
    </dxf>
    <dxf>
      <fill>
        <patternFill patternType="solid">
          <fgColor rgb="FFFFE383"/>
          <bgColor rgb="FF000000"/>
        </patternFill>
      </fill>
    </dxf>
    <dxf>
      <fill>
        <patternFill patternType="solid">
          <fgColor rgb="FFFFE583"/>
          <bgColor rgb="FF000000"/>
        </patternFill>
      </fill>
    </dxf>
    <dxf>
      <fill>
        <patternFill patternType="solid">
          <fgColor rgb="FFFFE784"/>
          <bgColor rgb="FF000000"/>
        </patternFill>
      </fill>
    </dxf>
    <dxf>
      <fill>
        <patternFill patternType="solid">
          <fgColor rgb="FFFFE9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73C27B"/>
          <bgColor rgb="FF000000"/>
        </patternFill>
      </fill>
    </dxf>
    <dxf>
      <fill>
        <patternFill patternType="solid">
          <fgColor rgb="FF83C77C"/>
          <bgColor rgb="FF000000"/>
        </patternFill>
      </fill>
    </dxf>
    <dxf>
      <fill>
        <patternFill patternType="solid">
          <fgColor rgb="FF8ECA7D"/>
          <bgColor rgb="FF000000"/>
        </patternFill>
      </fill>
    </dxf>
    <dxf>
      <fill>
        <patternFill patternType="solid">
          <fgColor rgb="FF99CD7E"/>
          <bgColor rgb="FF000000"/>
        </patternFill>
      </fill>
    </dxf>
    <dxf>
      <fill>
        <patternFill patternType="solid">
          <fgColor rgb="FFAAD27F"/>
          <bgColor rgb="FF000000"/>
        </patternFill>
      </fill>
    </dxf>
    <dxf>
      <fill>
        <patternFill patternType="solid">
          <fgColor rgb="FFB5D57F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C0D880"/>
          <bgColor rgb="FF000000"/>
        </patternFill>
      </fill>
    </dxf>
    <dxf>
      <fill>
        <patternFill patternType="solid">
          <fgColor rgb="FFE0E282"/>
          <bgColor rgb="FF000000"/>
        </patternFill>
      </fill>
    </dxf>
    <dxf>
      <fill>
        <patternFill patternType="solid">
          <fgColor rgb="FFF97A6F"/>
          <bgColor rgb="FF000000"/>
        </patternFill>
      </fill>
    </dxf>
    <dxf>
      <fill>
        <patternFill patternType="solid">
          <fgColor rgb="FFFA8571"/>
          <bgColor rgb="FF000000"/>
        </patternFill>
      </fill>
    </dxf>
    <dxf>
      <fill>
        <patternFill patternType="solid">
          <fgColor rgb="FFFA8D72"/>
          <bgColor rgb="FF000000"/>
        </patternFill>
      </fill>
    </dxf>
    <dxf>
      <fill>
        <patternFill patternType="solid">
          <fgColor rgb="FFFCA477"/>
          <bgColor rgb="FF000000"/>
        </patternFill>
      </fill>
    </dxf>
    <dxf>
      <fill>
        <patternFill patternType="solid">
          <fgColor rgb="FFFCAE79"/>
          <bgColor rgb="FF000000"/>
        </patternFill>
      </fill>
    </dxf>
    <dxf>
      <fill>
        <patternFill patternType="solid">
          <fgColor rgb="FFFCB279"/>
          <bgColor rgb="FF000000"/>
        </patternFill>
      </fill>
    </dxf>
    <dxf>
      <fill>
        <patternFill patternType="solid">
          <fgColor rgb="FFFCEA83"/>
          <bgColor rgb="FF000000"/>
        </patternFill>
      </fill>
    </dxf>
    <dxf>
      <fill>
        <patternFill patternType="solid">
          <fgColor rgb="FFFEC77D"/>
          <bgColor rgb="FF000000"/>
        </patternFill>
      </fill>
    </dxf>
    <dxf>
      <fill>
        <patternFill patternType="solid">
          <fgColor rgb="FFFFDC81"/>
          <bgColor rgb="FF000000"/>
        </patternFill>
      </fill>
    </dxf>
    <dxf>
      <fill>
        <patternFill patternType="solid">
          <fgColor rgb="FFFFE283"/>
          <bgColor rgb="FF000000"/>
        </patternFill>
      </fill>
    </dxf>
    <dxf>
      <fill>
        <patternFill patternType="solid">
          <fgColor rgb="FFFFEA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F81BD"/>
      <rgbColor rgb="FFB3C992"/>
      <rgbColor rgb="FF808080"/>
      <rgbColor rgb="FF8EA5CA"/>
      <rgbColor rgb="FFAA433F"/>
      <rgbColor rgb="FFFFFFCC"/>
      <rgbColor rgb="FFCCFFFF"/>
      <rgbColor rgb="FF660066"/>
      <rgbColor rgb="FFCC8F8E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33CCCC"/>
      <rgbColor rgb="FF99CC00"/>
      <rgbColor rgb="FFFFCC00"/>
      <rgbColor rgb="FFDB8238"/>
      <rgbColor rgb="FFFF6600"/>
      <rgbColor rgb="FF6F568D"/>
      <rgbColor rgb="FF878787"/>
      <rgbColor rgb="FF003366"/>
      <rgbColor rgb="FF3D97AF"/>
      <rgbColor rgb="FF003300"/>
      <rgbColor rgb="FF333300"/>
      <rgbColor rgb="FF993300"/>
      <rgbColor rgb="FFBE4B48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National (8-City Average) PM2.5 &amp; PM10 Trend, 2015-2024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Year_Trend!B1</c:f>
              <c:strCache>
                <c:ptCount val="1"/>
                <c:pt idx="0">
                  <c:v>Avg PM2.5 (8-city)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Year_Trend!$A$2:$A$11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Year_Trend!$B$2:$B$11</c:f>
              <c:numCache>
                <c:formatCode>General</c:formatCode>
                <c:ptCount val="10"/>
                <c:pt idx="0">
                  <c:v>65</c:v>
                </c:pt>
                <c:pt idx="1">
                  <c:v>62.4</c:v>
                </c:pt>
                <c:pt idx="2">
                  <c:v>59.9</c:v>
                </c:pt>
                <c:pt idx="3">
                  <c:v>60.8</c:v>
                </c:pt>
                <c:pt idx="4">
                  <c:v>55.4</c:v>
                </c:pt>
                <c:pt idx="5">
                  <c:v>43.4</c:v>
                </c:pt>
                <c:pt idx="6">
                  <c:v>52</c:v>
                </c:pt>
                <c:pt idx="7">
                  <c:v>55.3</c:v>
                </c:pt>
                <c:pt idx="8">
                  <c:v>53.3</c:v>
                </c:pt>
                <c:pt idx="9">
                  <c:v>52.9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Year_Trend!C1</c:f>
              <c:strCache>
                <c:ptCount val="1"/>
                <c:pt idx="0">
                  <c:v>Avg PM10 (8-city)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Year_Trend!$A$2:$A$11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Year_Trend!$C$2:$C$11</c:f>
              <c:numCache>
                <c:formatCode>General</c:formatCode>
                <c:ptCount val="10"/>
                <c:pt idx="0">
                  <c:v>132.3</c:v>
                </c:pt>
                <c:pt idx="1">
                  <c:v>127</c:v>
                </c:pt>
                <c:pt idx="2">
                  <c:v>121.9</c:v>
                </c:pt>
                <c:pt idx="3">
                  <c:v>123.7</c:v>
                </c:pt>
                <c:pt idx="4">
                  <c:v>112.7</c:v>
                </c:pt>
                <c:pt idx="5">
                  <c:v>88.4</c:v>
                </c:pt>
                <c:pt idx="6">
                  <c:v>105.9</c:v>
                </c:pt>
                <c:pt idx="7">
                  <c:v>112.5</c:v>
                </c:pt>
                <c:pt idx="8">
                  <c:v>108.3</c:v>
                </c:pt>
                <c:pt idx="9">
                  <c:v>107.8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774732"/>
        <c:axId val="49305840"/>
      </c:lineChart>
      <c:catAx>
        <c:axId val="417747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05840"/>
        <c:crosses val="autoZero"/>
        <c:auto val="1"/>
        <c:lblAlgn val="ctr"/>
        <c:lblOffset val="100"/>
        <c:noMultiLvlLbl val="0"/>
      </c:catAx>
      <c:valAx>
        <c:axId val="49305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Concentration (µg/m³)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74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PM2.5 Trend by City, 2015-2024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City_Comparison!A1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City_Comparison!$B$1:$K$1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City_Comparison!$B$1:$K$1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City_Comparison!A2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City_Comparison!$B$1:$K$1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City_Comparison!$B$2:$K$2</c:f>
              <c:numCache>
                <c:formatCode>General</c:formatCode>
                <c:ptCount val="10"/>
                <c:pt idx="0">
                  <c:v>119</c:v>
                </c:pt>
                <c:pt idx="1">
                  <c:v>115</c:v>
                </c:pt>
                <c:pt idx="2">
                  <c:v>111</c:v>
                </c:pt>
                <c:pt idx="3">
                  <c:v>113</c:v>
                </c:pt>
                <c:pt idx="4">
                  <c:v>98</c:v>
                </c:pt>
                <c:pt idx="5">
                  <c:v>84</c:v>
                </c:pt>
                <c:pt idx="6">
                  <c:v>96</c:v>
                </c:pt>
                <c:pt idx="7">
                  <c:v>100</c:v>
                </c:pt>
                <c:pt idx="8">
                  <c:v>92</c:v>
                </c:pt>
                <c:pt idx="9">
                  <c:v>103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City_Comparison!A3</c:f>
              <c:strCache>
                <c:ptCount val="1"/>
                <c:pt idx="0">
                  <c:v>Lucknow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City_Comparison!$B$1:$K$1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City_Comparison!$B$3:$K$3</c:f>
              <c:numCache>
                <c:formatCode>General</c:formatCode>
                <c:ptCount val="10"/>
                <c:pt idx="0">
                  <c:v>105</c:v>
                </c:pt>
                <c:pt idx="1">
                  <c:v>100</c:v>
                </c:pt>
                <c:pt idx="2">
                  <c:v>96</c:v>
                </c:pt>
                <c:pt idx="3">
                  <c:v>98</c:v>
                </c:pt>
                <c:pt idx="4">
                  <c:v>92</c:v>
                </c:pt>
                <c:pt idx="5">
                  <c:v>70</c:v>
                </c:pt>
                <c:pt idx="6">
                  <c:v>85</c:v>
                </c:pt>
                <c:pt idx="7">
                  <c:v>90</c:v>
                </c:pt>
                <c:pt idx="8">
                  <c:v>88</c:v>
                </c:pt>
                <c:pt idx="9">
                  <c:v>86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City_Comparison!A4</c:f>
              <c:strCache>
                <c:ptCount val="1"/>
                <c:pt idx="0">
                  <c:v>Kolkata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City_Comparison!$B$1:$K$1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City_Comparison!$B$4:$K$4</c:f>
              <c:numCache>
                <c:formatCode>General</c:formatCode>
                <c:ptCount val="10"/>
                <c:pt idx="0">
                  <c:v>68</c:v>
                </c:pt>
                <c:pt idx="1">
                  <c:v>65</c:v>
                </c:pt>
                <c:pt idx="2">
                  <c:v>62</c:v>
                </c:pt>
                <c:pt idx="3">
                  <c:v>64</c:v>
                </c:pt>
                <c:pt idx="4">
                  <c:v>58</c:v>
                </c:pt>
                <c:pt idx="5">
                  <c:v>44</c:v>
                </c:pt>
                <c:pt idx="6">
                  <c:v>54</c:v>
                </c:pt>
                <c:pt idx="7">
                  <c:v>58</c:v>
                </c:pt>
                <c:pt idx="8">
                  <c:v>56</c:v>
                </c:pt>
                <c:pt idx="9">
                  <c:v>53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City_Comparison!A5</c:f>
              <c:strCache>
                <c:ptCount val="1"/>
                <c:pt idx="0">
                  <c:v>Ahmedabad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City_Comparison!$B$1:$K$1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City_Comparison!$B$5:$K$5</c:f>
              <c:numCache>
                <c:formatCode>General</c:formatCode>
                <c:ptCount val="10"/>
                <c:pt idx="0">
                  <c:v>62</c:v>
                </c:pt>
                <c:pt idx="1">
                  <c:v>60</c:v>
                </c:pt>
                <c:pt idx="2">
                  <c:v>58</c:v>
                </c:pt>
                <c:pt idx="3">
                  <c:v>57</c:v>
                </c:pt>
                <c:pt idx="4">
                  <c:v>53</c:v>
                </c:pt>
                <c:pt idx="5">
                  <c:v>41</c:v>
                </c:pt>
                <c:pt idx="6">
                  <c:v>49</c:v>
                </c:pt>
                <c:pt idx="7">
                  <c:v>52</c:v>
                </c:pt>
                <c:pt idx="8">
                  <c:v>51</c:v>
                </c:pt>
                <c:pt idx="9">
                  <c:v>49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City_Comparison!A6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City_Comparison!$B$1:$K$1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City_Comparison!$B$6:$K$6</c:f>
              <c:numCache>
                <c:formatCode>General</c:formatCode>
                <c:ptCount val="10"/>
                <c:pt idx="0">
                  <c:v>50</c:v>
                </c:pt>
                <c:pt idx="1">
                  <c:v>48</c:v>
                </c:pt>
                <c:pt idx="2">
                  <c:v>46</c:v>
                </c:pt>
                <c:pt idx="3">
                  <c:v>47</c:v>
                </c:pt>
                <c:pt idx="4">
                  <c:v>44</c:v>
                </c:pt>
                <c:pt idx="5">
                  <c:v>33</c:v>
                </c:pt>
                <c:pt idx="6">
                  <c:v>41</c:v>
                </c:pt>
                <c:pt idx="7">
                  <c:v>44</c:v>
                </c:pt>
                <c:pt idx="8">
                  <c:v>44</c:v>
                </c:pt>
                <c:pt idx="9">
                  <c:v>41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City_Comparison!A7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City_Comparison!$B$1:$K$1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City_Comparison!$B$7:$K$7</c:f>
              <c:numCache>
                <c:formatCode>General</c:formatCode>
                <c:ptCount val="10"/>
                <c:pt idx="0">
                  <c:v>45</c:v>
                </c:pt>
                <c:pt idx="1">
                  <c:v>43</c:v>
                </c:pt>
                <c:pt idx="2">
                  <c:v>41</c:v>
                </c:pt>
                <c:pt idx="3">
                  <c:v>42</c:v>
                </c:pt>
                <c:pt idx="4">
                  <c:v>38</c:v>
                </c:pt>
                <c:pt idx="5">
                  <c:v>29</c:v>
                </c:pt>
                <c:pt idx="6">
                  <c:v>35</c:v>
                </c:pt>
                <c:pt idx="7">
                  <c:v>38</c:v>
                </c:pt>
                <c:pt idx="8">
                  <c:v>37</c:v>
                </c:pt>
                <c:pt idx="9">
                  <c:v>35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City_Comparison!A8</c:f>
              <c:strCache>
                <c:ptCount val="1"/>
                <c:pt idx="0">
                  <c:v>Bengaluru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City_Comparison!$B$1:$K$1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City_Comparison!$B$8:$K$8</c:f>
              <c:numCache>
                <c:formatCode>General</c:formatCode>
                <c:ptCount val="10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33</c:v>
                </c:pt>
                <c:pt idx="4">
                  <c:v>31</c:v>
                </c:pt>
                <c:pt idx="5">
                  <c:v>24</c:v>
                </c:pt>
                <c:pt idx="6">
                  <c:v>29</c:v>
                </c:pt>
                <c:pt idx="7">
                  <c:v>31</c:v>
                </c:pt>
                <c:pt idx="8">
                  <c:v>30</c:v>
                </c:pt>
                <c:pt idx="9">
                  <c:v>29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City_Comparison!A9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City_Comparison!$B$1:$K$1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City_Comparison!$B$9:$K$9</c:f>
              <c:numCache>
                <c:formatCode>General</c:formatCode>
                <c:ptCount val="10"/>
                <c:pt idx="0">
                  <c:v>33</c:v>
                </c:pt>
                <c:pt idx="1">
                  <c:v>32</c:v>
                </c:pt>
                <c:pt idx="2">
                  <c:v>31</c:v>
                </c:pt>
                <c:pt idx="3">
                  <c:v>32</c:v>
                </c:pt>
                <c:pt idx="4">
                  <c:v>29</c:v>
                </c:pt>
                <c:pt idx="5">
                  <c:v>22</c:v>
                </c:pt>
                <c:pt idx="6">
                  <c:v>27</c:v>
                </c:pt>
                <c:pt idx="7">
                  <c:v>29</c:v>
                </c:pt>
                <c:pt idx="8">
                  <c:v>28</c:v>
                </c:pt>
                <c:pt idx="9">
                  <c:v>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854045"/>
        <c:axId val="90524392"/>
      </c:lineChart>
      <c:catAx>
        <c:axId val="508540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24392"/>
        <c:crosses val="autoZero"/>
        <c:auto val="1"/>
        <c:lblAlgn val="ctr"/>
        <c:lblOffset val="100"/>
        <c:noMultiLvlLbl val="0"/>
      </c:catAx>
      <c:valAx>
        <c:axId val="90524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PM2.5 (µg/m³)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540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City-Years by AQI Category (80 city-years, 2015-2024)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AQI_Category_Mix!B1</c:f>
              <c:strCache>
                <c:ptCount val="1"/>
                <c:pt idx="0">
                  <c:v>Count of City-Years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AQI_Category_Mix!$A$2:$A$7</c:f>
              <c:strCache>
                <c:ptCount val="6"/>
                <c:pt idx="0">
                  <c:v>Good</c:v>
                </c:pt>
                <c:pt idx="1">
                  <c:v>Satisfactory</c:v>
                </c:pt>
                <c:pt idx="2">
                  <c:v>Moderate</c:v>
                </c:pt>
                <c:pt idx="3">
                  <c:v>Poor</c:v>
                </c:pt>
                <c:pt idx="4">
                  <c:v>Very Poor</c:v>
                </c:pt>
                <c:pt idx="5">
                  <c:v>Severe</c:v>
                </c:pt>
              </c:strCache>
            </c:strRef>
          </c:cat>
          <c:val>
            <c:numRef>
              <c:f>AQI_Category_Mix!$B$2:$B$7</c:f>
              <c:numCache>
                <c:formatCode>General</c:formatCode>
                <c:ptCount val="6"/>
                <c:pt idx="0">
                  <c:v>11</c:v>
                </c:pt>
                <c:pt idx="1">
                  <c:v>44</c:v>
                </c:pt>
                <c:pt idx="2">
                  <c:v>11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26891625"/>
        <c:axId val="43484261"/>
      </c:barChart>
      <c:catAx>
        <c:axId val="268916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84261"/>
        <c:crosses val="autoZero"/>
        <c:auto val="1"/>
        <c:lblAlgn val="ctr"/>
        <c:lblOffset val="100"/>
        <c:noMultiLvlLbl val="0"/>
      </c:catAx>
      <c:valAx>
        <c:axId val="43484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city-years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916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National PM2.5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Year_Trend!B1</c:f>
              <c:strCache>
                <c:ptCount val="1"/>
                <c:pt idx="0">
                  <c:v>Avg PM2.5 (8-city)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Year_Trend!$A$2:$A$11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Year_Trend!$B$2:$B$11</c:f>
              <c:numCache>
                <c:formatCode>General</c:formatCode>
                <c:ptCount val="10"/>
                <c:pt idx="0">
                  <c:v>65</c:v>
                </c:pt>
                <c:pt idx="1">
                  <c:v>62.4</c:v>
                </c:pt>
                <c:pt idx="2">
                  <c:v>59.9</c:v>
                </c:pt>
                <c:pt idx="3">
                  <c:v>60.8</c:v>
                </c:pt>
                <c:pt idx="4">
                  <c:v>55.4</c:v>
                </c:pt>
                <c:pt idx="5">
                  <c:v>43.4</c:v>
                </c:pt>
                <c:pt idx="6">
                  <c:v>52</c:v>
                </c:pt>
                <c:pt idx="7">
                  <c:v>55.3</c:v>
                </c:pt>
                <c:pt idx="8">
                  <c:v>53.3</c:v>
                </c:pt>
                <c:pt idx="9">
                  <c:v>52.9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016161"/>
        <c:axId val="91592654"/>
      </c:lineChart>
      <c:catAx>
        <c:axId val="28016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92654"/>
        <c:crosses val="autoZero"/>
        <c:auto val="1"/>
        <c:lblAlgn val="ctr"/>
        <c:lblOffset val="100"/>
        <c:noMultiLvlLbl val="0"/>
      </c:catAx>
      <c:valAx>
        <c:axId val="91592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16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AQI Category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AQI_Category_Mix!B1</c:f>
              <c:strCache>
                <c:ptCount val="1"/>
                <c:pt idx="0">
                  <c:v>Count of City-Years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AQI_Category_Mix!$A$2:$A$7</c:f>
              <c:strCache>
                <c:ptCount val="6"/>
                <c:pt idx="0">
                  <c:v>Good</c:v>
                </c:pt>
                <c:pt idx="1">
                  <c:v>Satisfactory</c:v>
                </c:pt>
                <c:pt idx="2">
                  <c:v>Moderate</c:v>
                </c:pt>
                <c:pt idx="3">
                  <c:v>Poor</c:v>
                </c:pt>
                <c:pt idx="4">
                  <c:v>Very Poor</c:v>
                </c:pt>
                <c:pt idx="5">
                  <c:v>Severe</c:v>
                </c:pt>
              </c:strCache>
            </c:strRef>
          </c:cat>
          <c:val>
            <c:numRef>
              <c:f>AQI_Category_Mix!$B$2:$B$7</c:f>
              <c:numCache>
                <c:formatCode>General</c:formatCode>
                <c:ptCount val="6"/>
                <c:pt idx="0">
                  <c:v>11</c:v>
                </c:pt>
                <c:pt idx="1">
                  <c:v>44</c:v>
                </c:pt>
                <c:pt idx="2">
                  <c:v>11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6921053"/>
        <c:axId val="33751881"/>
      </c:barChart>
      <c:catAx>
        <c:axId val="69210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51881"/>
        <c:crosses val="autoZero"/>
        <c:auto val="1"/>
        <c:lblAlgn val="ctr"/>
        <c:lblOffset val="100"/>
        <c:noMultiLvlLbl val="0"/>
      </c:catAx>
      <c:valAx>
        <c:axId val="33751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10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PM2.5 by State/UT, 2024 (representative city)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State_Wise_2024!D1</c:f>
              <c:strCache>
                <c:ptCount val="1"/>
                <c:pt idx="0">
                  <c:v>PM2.5_2024 (ug/m3)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State_Wise_2024!$A$2:$A$37</c:f>
              <c:strCache>
                <c:ptCount val="36"/>
                <c:pt idx="0">
                  <c:v>Delhi</c:v>
                </c:pt>
                <c:pt idx="1">
                  <c:v>Haryana</c:v>
                </c:pt>
                <c:pt idx="2">
                  <c:v>Bihar</c:v>
                </c:pt>
                <c:pt idx="3">
                  <c:v>Uttar Pradesh</c:v>
                </c:pt>
                <c:pt idx="4">
                  <c:v>Punjab</c:v>
                </c:pt>
                <c:pt idx="5">
                  <c:v>Chandigarh</c:v>
                </c:pt>
                <c:pt idx="6">
                  <c:v>Rajasthan</c:v>
                </c:pt>
                <c:pt idx="7">
                  <c:v>Chhattisgarh</c:v>
                </c:pt>
                <c:pt idx="8">
                  <c:v>Jharkhand</c:v>
                </c:pt>
                <c:pt idx="9">
                  <c:v>Madhya Pradesh</c:v>
                </c:pt>
                <c:pt idx="10">
                  <c:v>Uttarakhand</c:v>
                </c:pt>
                <c:pt idx="11">
                  <c:v>Meghalaya</c:v>
                </c:pt>
                <c:pt idx="12">
                  <c:v>West Bengal</c:v>
                </c:pt>
                <c:pt idx="13">
                  <c:v>Odisha</c:v>
                </c:pt>
                <c:pt idx="14">
                  <c:v>Gujarat</c:v>
                </c:pt>
                <c:pt idx="15">
                  <c:v>Assam</c:v>
                </c:pt>
                <c:pt idx="16">
                  <c:v>Jammu and Kashmir</c:v>
                </c:pt>
                <c:pt idx="17">
                  <c:v>Maharashtra</c:v>
                </c:pt>
                <c:pt idx="18">
                  <c:v>Dadra and Nagar Haveli and Daman and Diu</c:v>
                </c:pt>
                <c:pt idx="19">
                  <c:v>Andhra Pradesh</c:v>
                </c:pt>
                <c:pt idx="20">
                  <c:v>Himachal Pradesh</c:v>
                </c:pt>
                <c:pt idx="21">
                  <c:v>Telangana</c:v>
                </c:pt>
                <c:pt idx="22">
                  <c:v>Karnataka</c:v>
                </c:pt>
                <c:pt idx="23">
                  <c:v>Tripura</c:v>
                </c:pt>
                <c:pt idx="24">
                  <c:v>Tamil Nadu</c:v>
                </c:pt>
                <c:pt idx="25">
                  <c:v>Goa</c:v>
                </c:pt>
                <c:pt idx="26">
                  <c:v>Manipur</c:v>
                </c:pt>
                <c:pt idx="27">
                  <c:v>Puducherry</c:v>
                </c:pt>
                <c:pt idx="28">
                  <c:v>Ladakh</c:v>
                </c:pt>
                <c:pt idx="29">
                  <c:v>Arunachal Pradesh</c:v>
                </c:pt>
                <c:pt idx="30">
                  <c:v>Nagaland</c:v>
                </c:pt>
                <c:pt idx="31">
                  <c:v>Kerala</c:v>
                </c:pt>
                <c:pt idx="32">
                  <c:v>Mizoram</c:v>
                </c:pt>
                <c:pt idx="33">
                  <c:v>Andaman and Nicobar Islands</c:v>
                </c:pt>
                <c:pt idx="34">
                  <c:v>Sikkim</c:v>
                </c:pt>
                <c:pt idx="35">
                  <c:v>Lakshadweep</c:v>
                </c:pt>
              </c:strCache>
            </c:strRef>
          </c:cat>
          <c:val>
            <c:numRef>
              <c:f>State_Wise_2024!$D$2:$D$37</c:f>
              <c:numCache>
                <c:formatCode>General</c:formatCode>
                <c:ptCount val="36"/>
                <c:pt idx="0">
                  <c:v>103</c:v>
                </c:pt>
                <c:pt idx="1">
                  <c:v>95</c:v>
                </c:pt>
                <c:pt idx="2">
                  <c:v>90</c:v>
                </c:pt>
                <c:pt idx="3">
                  <c:v>86</c:v>
                </c:pt>
                <c:pt idx="4">
                  <c:v>75</c:v>
                </c:pt>
                <c:pt idx="5">
                  <c:v>70</c:v>
                </c:pt>
                <c:pt idx="6">
                  <c:v>68</c:v>
                </c:pt>
                <c:pt idx="7">
                  <c:v>60</c:v>
                </c:pt>
                <c:pt idx="8">
                  <c:v>58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53</c:v>
                </c:pt>
                <c:pt idx="13">
                  <c:v>50</c:v>
                </c:pt>
                <c:pt idx="14">
                  <c:v>49</c:v>
                </c:pt>
                <c:pt idx="15">
                  <c:v>48</c:v>
                </c:pt>
                <c:pt idx="16">
                  <c:v>45</c:v>
                </c:pt>
                <c:pt idx="17">
                  <c:v>41</c:v>
                </c:pt>
                <c:pt idx="18">
                  <c:v>40</c:v>
                </c:pt>
                <c:pt idx="19">
                  <c:v>40</c:v>
                </c:pt>
                <c:pt idx="20">
                  <c:v>35</c:v>
                </c:pt>
                <c:pt idx="21">
                  <c:v>35</c:v>
                </c:pt>
                <c:pt idx="22">
                  <c:v>29</c:v>
                </c:pt>
                <c:pt idx="23">
                  <c:v>28</c:v>
                </c:pt>
                <c:pt idx="24">
                  <c:v>27</c:v>
                </c:pt>
                <c:pt idx="25">
                  <c:v>25</c:v>
                </c:pt>
                <c:pt idx="26">
                  <c:v>22</c:v>
                </c:pt>
                <c:pt idx="27">
                  <c:v>22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18</c:v>
                </c:pt>
                <c:pt idx="32">
                  <c:v>18</c:v>
                </c:pt>
                <c:pt idx="33">
                  <c:v>15</c:v>
                </c:pt>
                <c:pt idx="34">
                  <c:v>15</c:v>
                </c:pt>
                <c:pt idx="35">
                  <c:v>12</c:v>
                </c:pt>
              </c:numCache>
            </c:numRef>
          </c:val>
        </c:ser>
        <c:gapWidth val="150"/>
        <c:overlap val="0"/>
        <c:axId val="86788695"/>
        <c:axId val="4718368"/>
      </c:barChart>
      <c:catAx>
        <c:axId val="86788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8368"/>
        <c:crosses val="autoZero"/>
        <c:auto val="1"/>
        <c:lblAlgn val="ctr"/>
        <c:lblOffset val="100"/>
        <c:noMultiLvlLbl val="0"/>
      </c:catAx>
      <c:valAx>
        <c:axId val="47183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PM2.5 (µg/m³)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886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16</xdr:col>
      <xdr:colOff>473040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5263560" y="190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15</xdr:col>
      <xdr:colOff>288000</xdr:colOff>
      <xdr:row>33</xdr:row>
      <xdr:rowOff>149400</xdr:rowOff>
    </xdr:to>
    <xdr:graphicFrame>
      <xdr:nvGraphicFramePr>
        <xdr:cNvPr id="1" name="Chart 1"/>
        <xdr:cNvGraphicFramePr/>
      </xdr:nvGraphicFramePr>
      <xdr:xfrm>
        <a:off x="0" y="247644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12</xdr:col>
      <xdr:colOff>255960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314892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130680</xdr:rowOff>
    </xdr:from>
    <xdr:to>
      <xdr:col>6</xdr:col>
      <xdr:colOff>151560</xdr:colOff>
      <xdr:row>24</xdr:row>
      <xdr:rowOff>173880</xdr:rowOff>
    </xdr:to>
    <xdr:graphicFrame>
      <xdr:nvGraphicFramePr>
        <xdr:cNvPr id="3" name="Chart 1"/>
        <xdr:cNvGraphicFramePr/>
      </xdr:nvGraphicFramePr>
      <xdr:xfrm>
        <a:off x="611640" y="228600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130680</xdr:rowOff>
    </xdr:from>
    <xdr:to>
      <xdr:col>17</xdr:col>
      <xdr:colOff>147600</xdr:colOff>
      <xdr:row>24</xdr:row>
      <xdr:rowOff>173880</xdr:rowOff>
    </xdr:to>
    <xdr:graphicFrame>
      <xdr:nvGraphicFramePr>
        <xdr:cNvPr id="4" name="Chart 2"/>
        <xdr:cNvGraphicFramePr/>
      </xdr:nvGraphicFramePr>
      <xdr:xfrm>
        <a:off x="7334280" y="228600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0</xdr:row>
      <xdr:rowOff>190440</xdr:rowOff>
    </xdr:from>
    <xdr:to>
      <xdr:col>26</xdr:col>
      <xdr:colOff>295560</xdr:colOff>
      <xdr:row>22</xdr:row>
      <xdr:rowOff>168480</xdr:rowOff>
    </xdr:to>
    <xdr:graphicFrame>
      <xdr:nvGraphicFramePr>
        <xdr:cNvPr id="5" name="Chart 1"/>
        <xdr:cNvGraphicFramePr/>
      </xdr:nvGraphicFramePr>
      <xdr:xfrm>
        <a:off x="14779080" y="19044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I81" headerRowCount="1" totalsRowCount="0" totalsRowShown="0">
  <autoFilter ref="A1:I81"/>
  <tableColumns count="9">
    <tableColumn id="1" name="Year"/>
    <tableColumn id="2" name="City"/>
    <tableColumn id="3" name="State"/>
    <tableColumn id="4" name="Region"/>
    <tableColumn id="5" name="PM2.5 (ug/m3)"/>
    <tableColumn id="6" name="PM10 (ug/m3)"/>
    <tableColumn id="7" name="AQI"/>
    <tableColumn id="8" name="AQI_Category"/>
    <tableColumn id="9" name="Data_Notes"/>
  </tableColumns>
</table>
</file>

<file path=xl/tables/table2.xml><?xml version="1.0" encoding="utf-8"?>
<table xmlns="http://schemas.openxmlformats.org/spreadsheetml/2006/main" id="2" name="StateData" displayName="StateData" ref="A1:I37" headerRowCount="1" totalsRowCount="0" totalsRowShown="0">
  <autoFilter ref="A1:I37"/>
  <tableColumns count="9">
    <tableColumn id="1" name="State"/>
    <tableColumn id="2" name="Region"/>
    <tableColumn id="3" name="Representative_City"/>
    <tableColumn id="4" name="PM2.5_2024 (ug/m3)"/>
    <tableColumn id="5" name="PM10_2024 (ug/m3)"/>
    <tableColumn id="6" name="AQI_2024"/>
    <tableColumn id="7" name="AQI_Category"/>
    <tableColumn id="8" name="NCAP_Non_Attainment_State"/>
    <tableColumn id="9" name="NCAP_Non_Attainment_Cities_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3" t="s">
        <v>5</v>
      </c>
    </row>
    <row r="12" customFormat="false" ht="15" hidden="false" customHeight="false" outlineLevel="0" collapsed="false">
      <c r="B12" s="3" t="s">
        <v>6</v>
      </c>
    </row>
    <row r="13" customFormat="false" ht="15" hidden="false" customHeight="false" outlineLevel="0" collapsed="false">
      <c r="B13" s="3" t="s">
        <v>7</v>
      </c>
    </row>
    <row r="14" customFormat="false" ht="15" hidden="false" customHeight="false" outlineLevel="0" collapsed="false">
      <c r="B14" s="3" t="s">
        <v>8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3" t="s">
        <v>11</v>
      </c>
    </row>
    <row r="19" customFormat="false" ht="15" hidden="false" customHeight="false" outlineLevel="0" collapsed="false">
      <c r="B19" s="3" t="s">
        <v>12</v>
      </c>
    </row>
    <row r="20" customFormat="false" ht="15" hidden="false" customHeight="false" outlineLevel="0" collapsed="false">
      <c r="B20" s="3" t="s">
        <v>13</v>
      </c>
    </row>
    <row r="21" customFormat="false" ht="15" hidden="false" customHeight="false" outlineLevel="0" collapsed="false">
      <c r="B21" s="3" t="s">
        <v>14</v>
      </c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3" t="s">
        <v>16</v>
      </c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3" t="s">
        <v>18</v>
      </c>
    </row>
    <row r="27" customFormat="false" ht="15" hidden="false" customHeight="false" outlineLevel="0" collapsed="false">
      <c r="B27" s="3" t="s">
        <v>19</v>
      </c>
    </row>
    <row r="28" customFormat="false" ht="15" hidden="false" customHeight="false" outlineLevel="0" collapsed="false">
      <c r="B28" s="3" t="s">
        <v>20</v>
      </c>
    </row>
    <row r="29" customFormat="false" ht="15" hidden="false" customHeight="false" outlineLevel="0" collapsed="false">
      <c r="B29" s="3" t="s">
        <v>21</v>
      </c>
    </row>
    <row r="30" customFormat="false" ht="15" hidden="false" customHeight="false" outlineLevel="0" collapsed="false">
      <c r="B30" s="3" t="s">
        <v>22</v>
      </c>
    </row>
    <row r="31" customFormat="false" ht="15" hidden="false" customHeight="false" outlineLevel="0" collapsed="false">
      <c r="B31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5"/>
    <col collapsed="false" customWidth="true" hidden="false" outlineLevel="0" max="8" min="6" style="0" width="14"/>
    <col collapsed="false" customWidth="true" hidden="false" outlineLevel="0" max="9" min="9" style="0" width="42"/>
  </cols>
  <sheetData>
    <row r="1" customFormat="false" ht="15" hidden="false" customHeight="fals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</row>
    <row r="2" customFormat="false" ht="15" hidden="false" customHeight="false" outlineLevel="0" collapsed="false">
      <c r="A2" s="5" t="n">
        <v>2015</v>
      </c>
      <c r="B2" s="5" t="s">
        <v>33</v>
      </c>
      <c r="C2" s="5" t="s">
        <v>33</v>
      </c>
      <c r="D2" s="5" t="s">
        <v>34</v>
      </c>
      <c r="E2" s="5" t="n">
        <v>119</v>
      </c>
      <c r="F2" s="5" t="n">
        <v>255.8</v>
      </c>
      <c r="G2" s="5" t="n">
        <v>297</v>
      </c>
      <c r="H2" s="5" t="s">
        <v>35</v>
      </c>
      <c r="I2" s="5" t="s">
        <v>36</v>
      </c>
    </row>
    <row r="3" customFormat="false" ht="15" hidden="false" customHeight="false" outlineLevel="0" collapsed="false">
      <c r="A3" s="5" t="n">
        <v>2016</v>
      </c>
      <c r="B3" s="5" t="s">
        <v>33</v>
      </c>
      <c r="C3" s="5" t="s">
        <v>33</v>
      </c>
      <c r="D3" s="5" t="s">
        <v>34</v>
      </c>
      <c r="E3" s="5" t="n">
        <v>115</v>
      </c>
      <c r="F3" s="5" t="n">
        <v>247.2</v>
      </c>
      <c r="G3" s="5" t="n">
        <v>283</v>
      </c>
      <c r="H3" s="5" t="s">
        <v>35</v>
      </c>
      <c r="I3" s="5" t="s">
        <v>36</v>
      </c>
    </row>
    <row r="4" customFormat="false" ht="15" hidden="false" customHeight="false" outlineLevel="0" collapsed="false">
      <c r="A4" s="5" t="n">
        <v>2017</v>
      </c>
      <c r="B4" s="5" t="s">
        <v>33</v>
      </c>
      <c r="C4" s="5" t="s">
        <v>33</v>
      </c>
      <c r="D4" s="5" t="s">
        <v>34</v>
      </c>
      <c r="E4" s="5" t="n">
        <v>111</v>
      </c>
      <c r="F4" s="5" t="n">
        <v>238.6</v>
      </c>
      <c r="G4" s="5" t="n">
        <v>269</v>
      </c>
      <c r="H4" s="5" t="s">
        <v>35</v>
      </c>
      <c r="I4" s="5" t="s">
        <v>36</v>
      </c>
    </row>
    <row r="5" customFormat="false" ht="15" hidden="false" customHeight="false" outlineLevel="0" collapsed="false">
      <c r="A5" s="5" t="n">
        <v>2018</v>
      </c>
      <c r="B5" s="5" t="s">
        <v>33</v>
      </c>
      <c r="C5" s="5" t="s">
        <v>33</v>
      </c>
      <c r="D5" s="5" t="s">
        <v>34</v>
      </c>
      <c r="E5" s="5" t="n">
        <v>113</v>
      </c>
      <c r="F5" s="5" t="n">
        <v>242.9</v>
      </c>
      <c r="G5" s="5" t="n">
        <v>276</v>
      </c>
      <c r="H5" s="5" t="s">
        <v>35</v>
      </c>
      <c r="I5" s="5" t="s">
        <v>36</v>
      </c>
    </row>
    <row r="6" customFormat="false" ht="15" hidden="false" customHeight="false" outlineLevel="0" collapsed="false">
      <c r="A6" s="5" t="n">
        <v>2019</v>
      </c>
      <c r="B6" s="5" t="s">
        <v>33</v>
      </c>
      <c r="C6" s="5" t="s">
        <v>33</v>
      </c>
      <c r="D6" s="5" t="s">
        <v>34</v>
      </c>
      <c r="E6" s="5" t="n">
        <v>98</v>
      </c>
      <c r="F6" s="5" t="n">
        <v>210.7</v>
      </c>
      <c r="G6" s="5" t="n">
        <v>225</v>
      </c>
      <c r="H6" s="5" t="s">
        <v>35</v>
      </c>
      <c r="I6" s="5" t="s">
        <v>37</v>
      </c>
    </row>
    <row r="7" customFormat="false" ht="15" hidden="false" customHeight="false" outlineLevel="0" collapsed="false">
      <c r="A7" s="5" t="n">
        <v>2020</v>
      </c>
      <c r="B7" s="5" t="s">
        <v>33</v>
      </c>
      <c r="C7" s="5" t="s">
        <v>33</v>
      </c>
      <c r="D7" s="5" t="s">
        <v>34</v>
      </c>
      <c r="E7" s="5" t="n">
        <v>84</v>
      </c>
      <c r="F7" s="5" t="n">
        <v>180.6</v>
      </c>
      <c r="G7" s="5" t="n">
        <v>180</v>
      </c>
      <c r="H7" s="5" t="s">
        <v>38</v>
      </c>
      <c r="I7" s="5" t="s">
        <v>37</v>
      </c>
    </row>
    <row r="8" customFormat="false" ht="15" hidden="false" customHeight="false" outlineLevel="0" collapsed="false">
      <c r="A8" s="5" t="n">
        <v>2021</v>
      </c>
      <c r="B8" s="5" t="s">
        <v>33</v>
      </c>
      <c r="C8" s="5" t="s">
        <v>33</v>
      </c>
      <c r="D8" s="5" t="s">
        <v>34</v>
      </c>
      <c r="E8" s="5" t="n">
        <v>96</v>
      </c>
      <c r="F8" s="5" t="n">
        <v>206.4</v>
      </c>
      <c r="G8" s="5" t="n">
        <v>218</v>
      </c>
      <c r="H8" s="5" t="s">
        <v>35</v>
      </c>
      <c r="I8" s="5" t="s">
        <v>36</v>
      </c>
    </row>
    <row r="9" customFormat="false" ht="15" hidden="false" customHeight="false" outlineLevel="0" collapsed="false">
      <c r="A9" s="5" t="n">
        <v>2022</v>
      </c>
      <c r="B9" s="5" t="s">
        <v>33</v>
      </c>
      <c r="C9" s="5" t="s">
        <v>33</v>
      </c>
      <c r="D9" s="5" t="s">
        <v>34</v>
      </c>
      <c r="E9" s="5" t="n">
        <v>100</v>
      </c>
      <c r="F9" s="5" t="n">
        <v>215</v>
      </c>
      <c r="G9" s="5" t="n">
        <v>232</v>
      </c>
      <c r="H9" s="5" t="s">
        <v>35</v>
      </c>
      <c r="I9" s="5" t="s">
        <v>36</v>
      </c>
    </row>
    <row r="10" customFormat="false" ht="15" hidden="false" customHeight="false" outlineLevel="0" collapsed="false">
      <c r="A10" s="5" t="n">
        <v>2023</v>
      </c>
      <c r="B10" s="5" t="s">
        <v>33</v>
      </c>
      <c r="C10" s="5" t="s">
        <v>33</v>
      </c>
      <c r="D10" s="5" t="s">
        <v>34</v>
      </c>
      <c r="E10" s="5" t="n">
        <v>92</v>
      </c>
      <c r="F10" s="5" t="n">
        <v>197.8</v>
      </c>
      <c r="G10" s="5" t="n">
        <v>204</v>
      </c>
      <c r="H10" s="5" t="s">
        <v>35</v>
      </c>
      <c r="I10" s="5" t="s">
        <v>37</v>
      </c>
    </row>
    <row r="11" customFormat="false" ht="15" hidden="false" customHeight="false" outlineLevel="0" collapsed="false">
      <c r="A11" s="5" t="n">
        <v>2024</v>
      </c>
      <c r="B11" s="5" t="s">
        <v>33</v>
      </c>
      <c r="C11" s="5" t="s">
        <v>33</v>
      </c>
      <c r="D11" s="5" t="s">
        <v>34</v>
      </c>
      <c r="E11" s="5" t="n">
        <v>103</v>
      </c>
      <c r="F11" s="5" t="n">
        <v>221.4</v>
      </c>
      <c r="G11" s="5" t="n">
        <v>242</v>
      </c>
      <c r="H11" s="5" t="s">
        <v>35</v>
      </c>
      <c r="I11" s="5" t="s">
        <v>37</v>
      </c>
    </row>
    <row r="12" customFormat="false" ht="15" hidden="false" customHeight="false" outlineLevel="0" collapsed="false">
      <c r="A12" s="5" t="n">
        <v>2015</v>
      </c>
      <c r="B12" s="5" t="s">
        <v>39</v>
      </c>
      <c r="C12" s="5" t="s">
        <v>40</v>
      </c>
      <c r="D12" s="5" t="s">
        <v>34</v>
      </c>
      <c r="E12" s="5" t="n">
        <v>105</v>
      </c>
      <c r="F12" s="5" t="n">
        <v>225.8</v>
      </c>
      <c r="G12" s="5" t="n">
        <v>249</v>
      </c>
      <c r="H12" s="5" t="s">
        <v>35</v>
      </c>
      <c r="I12" s="5" t="s">
        <v>36</v>
      </c>
    </row>
    <row r="13" customFormat="false" ht="15" hidden="false" customHeight="false" outlineLevel="0" collapsed="false">
      <c r="A13" s="5" t="n">
        <v>2016</v>
      </c>
      <c r="B13" s="5" t="s">
        <v>39</v>
      </c>
      <c r="C13" s="5" t="s">
        <v>40</v>
      </c>
      <c r="D13" s="5" t="s">
        <v>34</v>
      </c>
      <c r="E13" s="5" t="n">
        <v>100</v>
      </c>
      <c r="F13" s="5" t="n">
        <v>215</v>
      </c>
      <c r="G13" s="5" t="n">
        <v>232</v>
      </c>
      <c r="H13" s="5" t="s">
        <v>35</v>
      </c>
      <c r="I13" s="5" t="s">
        <v>36</v>
      </c>
    </row>
    <row r="14" customFormat="false" ht="15" hidden="false" customHeight="false" outlineLevel="0" collapsed="false">
      <c r="A14" s="5" t="n">
        <v>2017</v>
      </c>
      <c r="B14" s="5" t="s">
        <v>39</v>
      </c>
      <c r="C14" s="5" t="s">
        <v>40</v>
      </c>
      <c r="D14" s="5" t="s">
        <v>34</v>
      </c>
      <c r="E14" s="5" t="n">
        <v>96</v>
      </c>
      <c r="F14" s="5" t="n">
        <v>206.4</v>
      </c>
      <c r="G14" s="5" t="n">
        <v>218</v>
      </c>
      <c r="H14" s="5" t="s">
        <v>35</v>
      </c>
      <c r="I14" s="5" t="s">
        <v>36</v>
      </c>
    </row>
    <row r="15" customFormat="false" ht="15" hidden="false" customHeight="false" outlineLevel="0" collapsed="false">
      <c r="A15" s="5" t="n">
        <v>2018</v>
      </c>
      <c r="B15" s="5" t="s">
        <v>39</v>
      </c>
      <c r="C15" s="5" t="s">
        <v>40</v>
      </c>
      <c r="D15" s="5" t="s">
        <v>34</v>
      </c>
      <c r="E15" s="5" t="n">
        <v>98</v>
      </c>
      <c r="F15" s="5" t="n">
        <v>210.7</v>
      </c>
      <c r="G15" s="5" t="n">
        <v>225</v>
      </c>
      <c r="H15" s="5" t="s">
        <v>35</v>
      </c>
      <c r="I15" s="5" t="s">
        <v>36</v>
      </c>
    </row>
    <row r="16" customFormat="false" ht="15" hidden="false" customHeight="false" outlineLevel="0" collapsed="false">
      <c r="A16" s="5" t="n">
        <v>2019</v>
      </c>
      <c r="B16" s="5" t="s">
        <v>39</v>
      </c>
      <c r="C16" s="5" t="s">
        <v>40</v>
      </c>
      <c r="D16" s="5" t="s">
        <v>34</v>
      </c>
      <c r="E16" s="5" t="n">
        <v>92</v>
      </c>
      <c r="F16" s="5" t="n">
        <v>197.8</v>
      </c>
      <c r="G16" s="5" t="n">
        <v>204</v>
      </c>
      <c r="H16" s="5" t="s">
        <v>35</v>
      </c>
      <c r="I16" s="5" t="s">
        <v>37</v>
      </c>
    </row>
    <row r="17" customFormat="false" ht="15" hidden="false" customHeight="false" outlineLevel="0" collapsed="false">
      <c r="A17" s="5" t="n">
        <v>2020</v>
      </c>
      <c r="B17" s="5" t="s">
        <v>39</v>
      </c>
      <c r="C17" s="5" t="s">
        <v>40</v>
      </c>
      <c r="D17" s="5" t="s">
        <v>34</v>
      </c>
      <c r="E17" s="5" t="n">
        <v>70</v>
      </c>
      <c r="F17" s="5" t="n">
        <v>150.5</v>
      </c>
      <c r="G17" s="5" t="n">
        <v>132</v>
      </c>
      <c r="H17" s="5" t="s">
        <v>38</v>
      </c>
      <c r="I17" s="5" t="s">
        <v>37</v>
      </c>
    </row>
    <row r="18" customFormat="false" ht="15" hidden="false" customHeight="false" outlineLevel="0" collapsed="false">
      <c r="A18" s="5" t="n">
        <v>2021</v>
      </c>
      <c r="B18" s="5" t="s">
        <v>39</v>
      </c>
      <c r="C18" s="5" t="s">
        <v>40</v>
      </c>
      <c r="D18" s="5" t="s">
        <v>34</v>
      </c>
      <c r="E18" s="5" t="n">
        <v>85</v>
      </c>
      <c r="F18" s="5" t="n">
        <v>182.8</v>
      </c>
      <c r="G18" s="5" t="n">
        <v>183</v>
      </c>
      <c r="H18" s="5" t="s">
        <v>38</v>
      </c>
      <c r="I18" s="5" t="s">
        <v>36</v>
      </c>
    </row>
    <row r="19" customFormat="false" ht="15" hidden="false" customHeight="false" outlineLevel="0" collapsed="false">
      <c r="A19" s="5" t="n">
        <v>2022</v>
      </c>
      <c r="B19" s="5" t="s">
        <v>39</v>
      </c>
      <c r="C19" s="5" t="s">
        <v>40</v>
      </c>
      <c r="D19" s="5" t="s">
        <v>34</v>
      </c>
      <c r="E19" s="5" t="n">
        <v>90</v>
      </c>
      <c r="F19" s="5" t="n">
        <v>193.5</v>
      </c>
      <c r="G19" s="5" t="n">
        <v>200</v>
      </c>
      <c r="H19" s="5" t="s">
        <v>38</v>
      </c>
      <c r="I19" s="5" t="s">
        <v>36</v>
      </c>
    </row>
    <row r="20" customFormat="false" ht="15" hidden="false" customHeight="false" outlineLevel="0" collapsed="false">
      <c r="A20" s="5" t="n">
        <v>2023</v>
      </c>
      <c r="B20" s="5" t="s">
        <v>39</v>
      </c>
      <c r="C20" s="5" t="s">
        <v>40</v>
      </c>
      <c r="D20" s="5" t="s">
        <v>34</v>
      </c>
      <c r="E20" s="5" t="n">
        <v>88</v>
      </c>
      <c r="F20" s="5" t="n">
        <v>189.2</v>
      </c>
      <c r="G20" s="5" t="n">
        <v>193</v>
      </c>
      <c r="H20" s="5" t="s">
        <v>38</v>
      </c>
      <c r="I20" s="5" t="s">
        <v>37</v>
      </c>
    </row>
    <row r="21" customFormat="false" ht="15" hidden="false" customHeight="false" outlineLevel="0" collapsed="false">
      <c r="A21" s="5" t="n">
        <v>2024</v>
      </c>
      <c r="B21" s="5" t="s">
        <v>39</v>
      </c>
      <c r="C21" s="5" t="s">
        <v>40</v>
      </c>
      <c r="D21" s="5" t="s">
        <v>34</v>
      </c>
      <c r="E21" s="5" t="n">
        <v>86</v>
      </c>
      <c r="F21" s="5" t="n">
        <v>184.9</v>
      </c>
      <c r="G21" s="5" t="n">
        <v>186</v>
      </c>
      <c r="H21" s="5" t="s">
        <v>38</v>
      </c>
      <c r="I21" s="5" t="s">
        <v>37</v>
      </c>
    </row>
    <row r="22" customFormat="false" ht="15" hidden="false" customHeight="false" outlineLevel="0" collapsed="false">
      <c r="A22" s="5" t="n">
        <v>2015</v>
      </c>
      <c r="B22" s="5" t="s">
        <v>41</v>
      </c>
      <c r="C22" s="5" t="s">
        <v>42</v>
      </c>
      <c r="D22" s="5" t="s">
        <v>43</v>
      </c>
      <c r="E22" s="5" t="n">
        <v>68</v>
      </c>
      <c r="F22" s="5" t="n">
        <v>132.6</v>
      </c>
      <c r="G22" s="5" t="n">
        <v>125</v>
      </c>
      <c r="H22" s="5" t="s">
        <v>38</v>
      </c>
      <c r="I22" s="5" t="s">
        <v>36</v>
      </c>
    </row>
    <row r="23" customFormat="false" ht="15" hidden="false" customHeight="false" outlineLevel="0" collapsed="false">
      <c r="A23" s="5" t="n">
        <v>2016</v>
      </c>
      <c r="B23" s="5" t="s">
        <v>41</v>
      </c>
      <c r="C23" s="5" t="s">
        <v>42</v>
      </c>
      <c r="D23" s="5" t="s">
        <v>43</v>
      </c>
      <c r="E23" s="5" t="n">
        <v>65</v>
      </c>
      <c r="F23" s="5" t="n">
        <v>126.8</v>
      </c>
      <c r="G23" s="5" t="n">
        <v>115</v>
      </c>
      <c r="H23" s="5" t="s">
        <v>38</v>
      </c>
      <c r="I23" s="5" t="s">
        <v>36</v>
      </c>
    </row>
    <row r="24" customFormat="false" ht="15" hidden="false" customHeight="false" outlineLevel="0" collapsed="false">
      <c r="A24" s="5" t="n">
        <v>2017</v>
      </c>
      <c r="B24" s="5" t="s">
        <v>41</v>
      </c>
      <c r="C24" s="5" t="s">
        <v>42</v>
      </c>
      <c r="D24" s="5" t="s">
        <v>43</v>
      </c>
      <c r="E24" s="5" t="n">
        <v>62</v>
      </c>
      <c r="F24" s="5" t="n">
        <v>120.9</v>
      </c>
      <c r="G24" s="5" t="n">
        <v>104</v>
      </c>
      <c r="H24" s="5" t="s">
        <v>38</v>
      </c>
      <c r="I24" s="5" t="s">
        <v>36</v>
      </c>
    </row>
    <row r="25" customFormat="false" ht="15" hidden="false" customHeight="false" outlineLevel="0" collapsed="false">
      <c r="A25" s="5" t="n">
        <v>2018</v>
      </c>
      <c r="B25" s="5" t="s">
        <v>41</v>
      </c>
      <c r="C25" s="5" t="s">
        <v>42</v>
      </c>
      <c r="D25" s="5" t="s">
        <v>43</v>
      </c>
      <c r="E25" s="5" t="n">
        <v>64</v>
      </c>
      <c r="F25" s="5" t="n">
        <v>124.8</v>
      </c>
      <c r="G25" s="5" t="n">
        <v>111</v>
      </c>
      <c r="H25" s="5" t="s">
        <v>38</v>
      </c>
      <c r="I25" s="5" t="s">
        <v>36</v>
      </c>
    </row>
    <row r="26" customFormat="false" ht="15" hidden="false" customHeight="false" outlineLevel="0" collapsed="false">
      <c r="A26" s="5" t="n">
        <v>2019</v>
      </c>
      <c r="B26" s="5" t="s">
        <v>41</v>
      </c>
      <c r="C26" s="5" t="s">
        <v>42</v>
      </c>
      <c r="D26" s="5" t="s">
        <v>43</v>
      </c>
      <c r="E26" s="5" t="n">
        <v>58</v>
      </c>
      <c r="F26" s="5" t="n">
        <v>113.1</v>
      </c>
      <c r="G26" s="5" t="n">
        <v>97</v>
      </c>
      <c r="H26" s="5" t="s">
        <v>44</v>
      </c>
      <c r="I26" s="5" t="s">
        <v>37</v>
      </c>
    </row>
    <row r="27" customFormat="false" ht="15" hidden="false" customHeight="false" outlineLevel="0" collapsed="false">
      <c r="A27" s="5" t="n">
        <v>2020</v>
      </c>
      <c r="B27" s="5" t="s">
        <v>41</v>
      </c>
      <c r="C27" s="5" t="s">
        <v>42</v>
      </c>
      <c r="D27" s="5" t="s">
        <v>43</v>
      </c>
      <c r="E27" s="5" t="n">
        <v>44</v>
      </c>
      <c r="F27" s="5" t="n">
        <v>85.8</v>
      </c>
      <c r="G27" s="5" t="n">
        <v>73</v>
      </c>
      <c r="H27" s="5" t="s">
        <v>44</v>
      </c>
      <c r="I27" s="5" t="s">
        <v>37</v>
      </c>
    </row>
    <row r="28" customFormat="false" ht="15" hidden="false" customHeight="false" outlineLevel="0" collapsed="false">
      <c r="A28" s="5" t="n">
        <v>2021</v>
      </c>
      <c r="B28" s="5" t="s">
        <v>41</v>
      </c>
      <c r="C28" s="5" t="s">
        <v>42</v>
      </c>
      <c r="D28" s="5" t="s">
        <v>43</v>
      </c>
      <c r="E28" s="5" t="n">
        <v>54</v>
      </c>
      <c r="F28" s="5" t="n">
        <v>105.3</v>
      </c>
      <c r="G28" s="5" t="n">
        <v>90</v>
      </c>
      <c r="H28" s="5" t="s">
        <v>44</v>
      </c>
      <c r="I28" s="5" t="s">
        <v>36</v>
      </c>
    </row>
    <row r="29" customFormat="false" ht="15" hidden="false" customHeight="false" outlineLevel="0" collapsed="false">
      <c r="A29" s="5" t="n">
        <v>2022</v>
      </c>
      <c r="B29" s="5" t="s">
        <v>41</v>
      </c>
      <c r="C29" s="5" t="s">
        <v>42</v>
      </c>
      <c r="D29" s="5" t="s">
        <v>43</v>
      </c>
      <c r="E29" s="5" t="n">
        <v>58</v>
      </c>
      <c r="F29" s="5" t="n">
        <v>113.1</v>
      </c>
      <c r="G29" s="5" t="n">
        <v>97</v>
      </c>
      <c r="H29" s="5" t="s">
        <v>44</v>
      </c>
      <c r="I29" s="5" t="s">
        <v>36</v>
      </c>
    </row>
    <row r="30" customFormat="false" ht="15" hidden="false" customHeight="false" outlineLevel="0" collapsed="false">
      <c r="A30" s="5" t="n">
        <v>2023</v>
      </c>
      <c r="B30" s="5" t="s">
        <v>41</v>
      </c>
      <c r="C30" s="5" t="s">
        <v>42</v>
      </c>
      <c r="D30" s="5" t="s">
        <v>43</v>
      </c>
      <c r="E30" s="5" t="n">
        <v>56</v>
      </c>
      <c r="F30" s="5" t="n">
        <v>109.2</v>
      </c>
      <c r="G30" s="5" t="n">
        <v>93</v>
      </c>
      <c r="H30" s="5" t="s">
        <v>44</v>
      </c>
      <c r="I30" s="5" t="s">
        <v>37</v>
      </c>
    </row>
    <row r="31" customFormat="false" ht="15" hidden="false" customHeight="false" outlineLevel="0" collapsed="false">
      <c r="A31" s="5" t="n">
        <v>2024</v>
      </c>
      <c r="B31" s="5" t="s">
        <v>41</v>
      </c>
      <c r="C31" s="5" t="s">
        <v>42</v>
      </c>
      <c r="D31" s="5" t="s">
        <v>43</v>
      </c>
      <c r="E31" s="5" t="n">
        <v>53</v>
      </c>
      <c r="F31" s="5" t="n">
        <v>103.3</v>
      </c>
      <c r="G31" s="5" t="n">
        <v>88</v>
      </c>
      <c r="H31" s="5" t="s">
        <v>44</v>
      </c>
      <c r="I31" s="5" t="s">
        <v>37</v>
      </c>
    </row>
    <row r="32" customFormat="false" ht="15" hidden="false" customHeight="false" outlineLevel="0" collapsed="false">
      <c r="A32" s="5" t="n">
        <v>2015</v>
      </c>
      <c r="B32" s="5" t="s">
        <v>45</v>
      </c>
      <c r="C32" s="5" t="s">
        <v>46</v>
      </c>
      <c r="D32" s="5" t="s">
        <v>47</v>
      </c>
      <c r="E32" s="5" t="n">
        <v>62</v>
      </c>
      <c r="F32" s="5" t="n">
        <v>127.1</v>
      </c>
      <c r="G32" s="5" t="n">
        <v>104</v>
      </c>
      <c r="H32" s="5" t="s">
        <v>38</v>
      </c>
      <c r="I32" s="5" t="s">
        <v>36</v>
      </c>
    </row>
    <row r="33" customFormat="false" ht="15" hidden="false" customHeight="false" outlineLevel="0" collapsed="false">
      <c r="A33" s="5" t="n">
        <v>2016</v>
      </c>
      <c r="B33" s="5" t="s">
        <v>45</v>
      </c>
      <c r="C33" s="5" t="s">
        <v>46</v>
      </c>
      <c r="D33" s="5" t="s">
        <v>47</v>
      </c>
      <c r="E33" s="5" t="n">
        <v>60</v>
      </c>
      <c r="F33" s="5" t="n">
        <v>123</v>
      </c>
      <c r="G33" s="5" t="n">
        <v>100</v>
      </c>
      <c r="H33" s="5" t="s">
        <v>44</v>
      </c>
      <c r="I33" s="5" t="s">
        <v>36</v>
      </c>
    </row>
    <row r="34" customFormat="false" ht="15" hidden="false" customHeight="false" outlineLevel="0" collapsed="false">
      <c r="A34" s="5" t="n">
        <v>2017</v>
      </c>
      <c r="B34" s="5" t="s">
        <v>45</v>
      </c>
      <c r="C34" s="5" t="s">
        <v>46</v>
      </c>
      <c r="D34" s="5" t="s">
        <v>47</v>
      </c>
      <c r="E34" s="5" t="n">
        <v>58</v>
      </c>
      <c r="F34" s="5" t="n">
        <v>118.9</v>
      </c>
      <c r="G34" s="5" t="n">
        <v>97</v>
      </c>
      <c r="H34" s="5" t="s">
        <v>44</v>
      </c>
      <c r="I34" s="5" t="s">
        <v>36</v>
      </c>
    </row>
    <row r="35" customFormat="false" ht="15" hidden="false" customHeight="false" outlineLevel="0" collapsed="false">
      <c r="A35" s="5" t="n">
        <v>2018</v>
      </c>
      <c r="B35" s="5" t="s">
        <v>45</v>
      </c>
      <c r="C35" s="5" t="s">
        <v>46</v>
      </c>
      <c r="D35" s="5" t="s">
        <v>47</v>
      </c>
      <c r="E35" s="5" t="n">
        <v>57</v>
      </c>
      <c r="F35" s="5" t="n">
        <v>116.8</v>
      </c>
      <c r="G35" s="5" t="n">
        <v>95</v>
      </c>
      <c r="H35" s="5" t="s">
        <v>44</v>
      </c>
      <c r="I35" s="5" t="s">
        <v>36</v>
      </c>
    </row>
    <row r="36" customFormat="false" ht="15" hidden="false" customHeight="false" outlineLevel="0" collapsed="false">
      <c r="A36" s="5" t="n">
        <v>2019</v>
      </c>
      <c r="B36" s="5" t="s">
        <v>45</v>
      </c>
      <c r="C36" s="5" t="s">
        <v>46</v>
      </c>
      <c r="D36" s="5" t="s">
        <v>47</v>
      </c>
      <c r="E36" s="5" t="n">
        <v>53</v>
      </c>
      <c r="F36" s="5" t="n">
        <v>108.6</v>
      </c>
      <c r="G36" s="5" t="n">
        <v>88</v>
      </c>
      <c r="H36" s="5" t="s">
        <v>44</v>
      </c>
      <c r="I36" s="5" t="s">
        <v>37</v>
      </c>
    </row>
    <row r="37" customFormat="false" ht="15" hidden="false" customHeight="false" outlineLevel="0" collapsed="false">
      <c r="A37" s="5" t="n">
        <v>2020</v>
      </c>
      <c r="B37" s="5" t="s">
        <v>45</v>
      </c>
      <c r="C37" s="5" t="s">
        <v>46</v>
      </c>
      <c r="D37" s="5" t="s">
        <v>47</v>
      </c>
      <c r="E37" s="5" t="n">
        <v>41</v>
      </c>
      <c r="F37" s="5" t="n">
        <v>84</v>
      </c>
      <c r="G37" s="5" t="n">
        <v>68</v>
      </c>
      <c r="H37" s="5" t="s">
        <v>44</v>
      </c>
      <c r="I37" s="5" t="s">
        <v>37</v>
      </c>
    </row>
    <row r="38" customFormat="false" ht="15" hidden="false" customHeight="false" outlineLevel="0" collapsed="false">
      <c r="A38" s="5" t="n">
        <v>2021</v>
      </c>
      <c r="B38" s="5" t="s">
        <v>45</v>
      </c>
      <c r="C38" s="5" t="s">
        <v>46</v>
      </c>
      <c r="D38" s="5" t="s">
        <v>47</v>
      </c>
      <c r="E38" s="5" t="n">
        <v>49</v>
      </c>
      <c r="F38" s="5" t="n">
        <v>100.4</v>
      </c>
      <c r="G38" s="5" t="n">
        <v>81</v>
      </c>
      <c r="H38" s="5" t="s">
        <v>44</v>
      </c>
      <c r="I38" s="5" t="s">
        <v>36</v>
      </c>
    </row>
    <row r="39" customFormat="false" ht="15" hidden="false" customHeight="false" outlineLevel="0" collapsed="false">
      <c r="A39" s="5" t="n">
        <v>2022</v>
      </c>
      <c r="B39" s="5" t="s">
        <v>45</v>
      </c>
      <c r="C39" s="5" t="s">
        <v>46</v>
      </c>
      <c r="D39" s="5" t="s">
        <v>47</v>
      </c>
      <c r="E39" s="5" t="n">
        <v>52</v>
      </c>
      <c r="F39" s="5" t="n">
        <v>106.6</v>
      </c>
      <c r="G39" s="5" t="n">
        <v>86</v>
      </c>
      <c r="H39" s="5" t="s">
        <v>44</v>
      </c>
      <c r="I39" s="5" t="s">
        <v>36</v>
      </c>
    </row>
    <row r="40" customFormat="false" ht="15" hidden="false" customHeight="false" outlineLevel="0" collapsed="false">
      <c r="A40" s="5" t="n">
        <v>2023</v>
      </c>
      <c r="B40" s="5" t="s">
        <v>45</v>
      </c>
      <c r="C40" s="5" t="s">
        <v>46</v>
      </c>
      <c r="D40" s="5" t="s">
        <v>47</v>
      </c>
      <c r="E40" s="5" t="n">
        <v>51</v>
      </c>
      <c r="F40" s="5" t="n">
        <v>104.5</v>
      </c>
      <c r="G40" s="5" t="n">
        <v>85</v>
      </c>
      <c r="H40" s="5" t="s">
        <v>44</v>
      </c>
      <c r="I40" s="5" t="s">
        <v>37</v>
      </c>
    </row>
    <row r="41" customFormat="false" ht="15" hidden="false" customHeight="false" outlineLevel="0" collapsed="false">
      <c r="A41" s="5" t="n">
        <v>2024</v>
      </c>
      <c r="B41" s="5" t="s">
        <v>45</v>
      </c>
      <c r="C41" s="5" t="s">
        <v>46</v>
      </c>
      <c r="D41" s="5" t="s">
        <v>47</v>
      </c>
      <c r="E41" s="5" t="n">
        <v>49</v>
      </c>
      <c r="F41" s="5" t="n">
        <v>100.4</v>
      </c>
      <c r="G41" s="5" t="n">
        <v>81</v>
      </c>
      <c r="H41" s="5" t="s">
        <v>44</v>
      </c>
      <c r="I41" s="5" t="s">
        <v>37</v>
      </c>
    </row>
    <row r="42" customFormat="false" ht="15" hidden="false" customHeight="false" outlineLevel="0" collapsed="false">
      <c r="A42" s="5" t="n">
        <v>2015</v>
      </c>
      <c r="B42" s="5" t="s">
        <v>48</v>
      </c>
      <c r="C42" s="5" t="s">
        <v>49</v>
      </c>
      <c r="D42" s="5" t="s">
        <v>47</v>
      </c>
      <c r="E42" s="5" t="n">
        <v>50</v>
      </c>
      <c r="F42" s="5" t="n">
        <v>102.5</v>
      </c>
      <c r="G42" s="5" t="n">
        <v>83</v>
      </c>
      <c r="H42" s="5" t="s">
        <v>44</v>
      </c>
      <c r="I42" s="5" t="s">
        <v>36</v>
      </c>
    </row>
    <row r="43" customFormat="false" ht="15" hidden="false" customHeight="false" outlineLevel="0" collapsed="false">
      <c r="A43" s="5" t="n">
        <v>2016</v>
      </c>
      <c r="B43" s="5" t="s">
        <v>48</v>
      </c>
      <c r="C43" s="5" t="s">
        <v>49</v>
      </c>
      <c r="D43" s="5" t="s">
        <v>47</v>
      </c>
      <c r="E43" s="5" t="n">
        <v>48</v>
      </c>
      <c r="F43" s="5" t="n">
        <v>98.4</v>
      </c>
      <c r="G43" s="5" t="n">
        <v>80</v>
      </c>
      <c r="H43" s="5" t="s">
        <v>44</v>
      </c>
      <c r="I43" s="5" t="s">
        <v>36</v>
      </c>
    </row>
    <row r="44" customFormat="false" ht="15" hidden="false" customHeight="false" outlineLevel="0" collapsed="false">
      <c r="A44" s="5" t="n">
        <v>2017</v>
      </c>
      <c r="B44" s="5" t="s">
        <v>48</v>
      </c>
      <c r="C44" s="5" t="s">
        <v>49</v>
      </c>
      <c r="D44" s="5" t="s">
        <v>47</v>
      </c>
      <c r="E44" s="5" t="n">
        <v>46</v>
      </c>
      <c r="F44" s="5" t="n">
        <v>94.3</v>
      </c>
      <c r="G44" s="5" t="n">
        <v>76</v>
      </c>
      <c r="H44" s="5" t="s">
        <v>44</v>
      </c>
      <c r="I44" s="5" t="s">
        <v>36</v>
      </c>
    </row>
    <row r="45" customFormat="false" ht="15" hidden="false" customHeight="false" outlineLevel="0" collapsed="false">
      <c r="A45" s="5" t="n">
        <v>2018</v>
      </c>
      <c r="B45" s="5" t="s">
        <v>48</v>
      </c>
      <c r="C45" s="5" t="s">
        <v>49</v>
      </c>
      <c r="D45" s="5" t="s">
        <v>47</v>
      </c>
      <c r="E45" s="5" t="n">
        <v>47</v>
      </c>
      <c r="F45" s="5" t="n">
        <v>96.3</v>
      </c>
      <c r="G45" s="5" t="n">
        <v>78</v>
      </c>
      <c r="H45" s="5" t="s">
        <v>44</v>
      </c>
      <c r="I45" s="5" t="s">
        <v>36</v>
      </c>
    </row>
    <row r="46" customFormat="false" ht="15" hidden="false" customHeight="false" outlineLevel="0" collapsed="false">
      <c r="A46" s="5" t="n">
        <v>2019</v>
      </c>
      <c r="B46" s="5" t="s">
        <v>48</v>
      </c>
      <c r="C46" s="5" t="s">
        <v>49</v>
      </c>
      <c r="D46" s="5" t="s">
        <v>47</v>
      </c>
      <c r="E46" s="5" t="n">
        <v>44</v>
      </c>
      <c r="F46" s="5" t="n">
        <v>90.2</v>
      </c>
      <c r="G46" s="5" t="n">
        <v>73</v>
      </c>
      <c r="H46" s="5" t="s">
        <v>44</v>
      </c>
      <c r="I46" s="5" t="s">
        <v>37</v>
      </c>
    </row>
    <row r="47" customFormat="false" ht="15" hidden="false" customHeight="false" outlineLevel="0" collapsed="false">
      <c r="A47" s="5" t="n">
        <v>2020</v>
      </c>
      <c r="B47" s="5" t="s">
        <v>48</v>
      </c>
      <c r="C47" s="5" t="s">
        <v>49</v>
      </c>
      <c r="D47" s="5" t="s">
        <v>47</v>
      </c>
      <c r="E47" s="5" t="n">
        <v>33</v>
      </c>
      <c r="F47" s="5" t="n">
        <v>67.6</v>
      </c>
      <c r="G47" s="5" t="n">
        <v>54</v>
      </c>
      <c r="H47" s="5" t="s">
        <v>44</v>
      </c>
      <c r="I47" s="5" t="s">
        <v>37</v>
      </c>
    </row>
    <row r="48" customFormat="false" ht="15" hidden="false" customHeight="false" outlineLevel="0" collapsed="false">
      <c r="A48" s="5" t="n">
        <v>2021</v>
      </c>
      <c r="B48" s="5" t="s">
        <v>48</v>
      </c>
      <c r="C48" s="5" t="s">
        <v>49</v>
      </c>
      <c r="D48" s="5" t="s">
        <v>47</v>
      </c>
      <c r="E48" s="5" t="n">
        <v>41</v>
      </c>
      <c r="F48" s="5" t="n">
        <v>84</v>
      </c>
      <c r="G48" s="5" t="n">
        <v>68</v>
      </c>
      <c r="H48" s="5" t="s">
        <v>44</v>
      </c>
      <c r="I48" s="5" t="s">
        <v>36</v>
      </c>
    </row>
    <row r="49" customFormat="false" ht="15" hidden="false" customHeight="false" outlineLevel="0" collapsed="false">
      <c r="A49" s="5" t="n">
        <v>2022</v>
      </c>
      <c r="B49" s="5" t="s">
        <v>48</v>
      </c>
      <c r="C49" s="5" t="s">
        <v>49</v>
      </c>
      <c r="D49" s="5" t="s">
        <v>47</v>
      </c>
      <c r="E49" s="5" t="n">
        <v>44</v>
      </c>
      <c r="F49" s="5" t="n">
        <v>90.2</v>
      </c>
      <c r="G49" s="5" t="n">
        <v>73</v>
      </c>
      <c r="H49" s="5" t="s">
        <v>44</v>
      </c>
      <c r="I49" s="5" t="s">
        <v>36</v>
      </c>
    </row>
    <row r="50" customFormat="false" ht="15" hidden="false" customHeight="false" outlineLevel="0" collapsed="false">
      <c r="A50" s="5" t="n">
        <v>2023</v>
      </c>
      <c r="B50" s="5" t="s">
        <v>48</v>
      </c>
      <c r="C50" s="5" t="s">
        <v>49</v>
      </c>
      <c r="D50" s="5" t="s">
        <v>47</v>
      </c>
      <c r="E50" s="5" t="n">
        <v>44</v>
      </c>
      <c r="F50" s="5" t="n">
        <v>90.2</v>
      </c>
      <c r="G50" s="5" t="n">
        <v>73</v>
      </c>
      <c r="H50" s="5" t="s">
        <v>44</v>
      </c>
      <c r="I50" s="5" t="s">
        <v>37</v>
      </c>
    </row>
    <row r="51" customFormat="false" ht="15" hidden="false" customHeight="false" outlineLevel="0" collapsed="false">
      <c r="A51" s="5" t="n">
        <v>2024</v>
      </c>
      <c r="B51" s="5" t="s">
        <v>48</v>
      </c>
      <c r="C51" s="5" t="s">
        <v>49</v>
      </c>
      <c r="D51" s="5" t="s">
        <v>47</v>
      </c>
      <c r="E51" s="5" t="n">
        <v>41</v>
      </c>
      <c r="F51" s="5" t="n">
        <v>84</v>
      </c>
      <c r="G51" s="5" t="n">
        <v>68</v>
      </c>
      <c r="H51" s="5" t="s">
        <v>44</v>
      </c>
      <c r="I51" s="5" t="s">
        <v>37</v>
      </c>
    </row>
    <row r="52" customFormat="false" ht="15" hidden="false" customHeight="false" outlineLevel="0" collapsed="false">
      <c r="A52" s="5" t="n">
        <v>2015</v>
      </c>
      <c r="B52" s="5" t="s">
        <v>50</v>
      </c>
      <c r="C52" s="5" t="s">
        <v>51</v>
      </c>
      <c r="D52" s="5" t="s">
        <v>52</v>
      </c>
      <c r="E52" s="5" t="n">
        <v>45</v>
      </c>
      <c r="F52" s="5" t="n">
        <v>83.2</v>
      </c>
      <c r="G52" s="5" t="n">
        <v>75</v>
      </c>
      <c r="H52" s="5" t="s">
        <v>44</v>
      </c>
      <c r="I52" s="5" t="s">
        <v>36</v>
      </c>
    </row>
    <row r="53" customFormat="false" ht="15" hidden="false" customHeight="false" outlineLevel="0" collapsed="false">
      <c r="A53" s="5" t="n">
        <v>2016</v>
      </c>
      <c r="B53" s="5" t="s">
        <v>50</v>
      </c>
      <c r="C53" s="5" t="s">
        <v>51</v>
      </c>
      <c r="D53" s="5" t="s">
        <v>52</v>
      </c>
      <c r="E53" s="5" t="n">
        <v>43</v>
      </c>
      <c r="F53" s="5" t="n">
        <v>79.5</v>
      </c>
      <c r="G53" s="5" t="n">
        <v>71</v>
      </c>
      <c r="H53" s="5" t="s">
        <v>44</v>
      </c>
      <c r="I53" s="5" t="s">
        <v>36</v>
      </c>
    </row>
    <row r="54" customFormat="false" ht="15" hidden="false" customHeight="false" outlineLevel="0" collapsed="false">
      <c r="A54" s="5" t="n">
        <v>2017</v>
      </c>
      <c r="B54" s="5" t="s">
        <v>50</v>
      </c>
      <c r="C54" s="5" t="s">
        <v>51</v>
      </c>
      <c r="D54" s="5" t="s">
        <v>52</v>
      </c>
      <c r="E54" s="5" t="n">
        <v>41</v>
      </c>
      <c r="F54" s="5" t="n">
        <v>75.9</v>
      </c>
      <c r="G54" s="5" t="n">
        <v>68</v>
      </c>
      <c r="H54" s="5" t="s">
        <v>44</v>
      </c>
      <c r="I54" s="5" t="s">
        <v>36</v>
      </c>
    </row>
    <row r="55" customFormat="false" ht="15" hidden="false" customHeight="false" outlineLevel="0" collapsed="false">
      <c r="A55" s="5" t="n">
        <v>2018</v>
      </c>
      <c r="B55" s="5" t="s">
        <v>50</v>
      </c>
      <c r="C55" s="5" t="s">
        <v>51</v>
      </c>
      <c r="D55" s="5" t="s">
        <v>52</v>
      </c>
      <c r="E55" s="5" t="n">
        <v>42</v>
      </c>
      <c r="F55" s="5" t="n">
        <v>77.7</v>
      </c>
      <c r="G55" s="5" t="n">
        <v>70</v>
      </c>
      <c r="H55" s="5" t="s">
        <v>44</v>
      </c>
      <c r="I55" s="5" t="s">
        <v>36</v>
      </c>
    </row>
    <row r="56" customFormat="false" ht="15" hidden="false" customHeight="false" outlineLevel="0" collapsed="false">
      <c r="A56" s="5" t="n">
        <v>2019</v>
      </c>
      <c r="B56" s="5" t="s">
        <v>50</v>
      </c>
      <c r="C56" s="5" t="s">
        <v>51</v>
      </c>
      <c r="D56" s="5" t="s">
        <v>52</v>
      </c>
      <c r="E56" s="5" t="n">
        <v>38</v>
      </c>
      <c r="F56" s="5" t="n">
        <v>70.3</v>
      </c>
      <c r="G56" s="5" t="n">
        <v>63</v>
      </c>
      <c r="H56" s="5" t="s">
        <v>44</v>
      </c>
      <c r="I56" s="5" t="s">
        <v>37</v>
      </c>
    </row>
    <row r="57" customFormat="false" ht="15" hidden="false" customHeight="false" outlineLevel="0" collapsed="false">
      <c r="A57" s="5" t="n">
        <v>2020</v>
      </c>
      <c r="B57" s="5" t="s">
        <v>50</v>
      </c>
      <c r="C57" s="5" t="s">
        <v>51</v>
      </c>
      <c r="D57" s="5" t="s">
        <v>52</v>
      </c>
      <c r="E57" s="5" t="n">
        <v>29</v>
      </c>
      <c r="F57" s="5" t="n">
        <v>53.7</v>
      </c>
      <c r="G57" s="5" t="n">
        <v>48</v>
      </c>
      <c r="H57" s="5" t="s">
        <v>53</v>
      </c>
      <c r="I57" s="5" t="s">
        <v>37</v>
      </c>
    </row>
    <row r="58" customFormat="false" ht="15" hidden="false" customHeight="false" outlineLevel="0" collapsed="false">
      <c r="A58" s="5" t="n">
        <v>2021</v>
      </c>
      <c r="B58" s="5" t="s">
        <v>50</v>
      </c>
      <c r="C58" s="5" t="s">
        <v>51</v>
      </c>
      <c r="D58" s="5" t="s">
        <v>52</v>
      </c>
      <c r="E58" s="5" t="n">
        <v>35</v>
      </c>
      <c r="F58" s="5" t="n">
        <v>64.8</v>
      </c>
      <c r="G58" s="5" t="n">
        <v>58</v>
      </c>
      <c r="H58" s="5" t="s">
        <v>44</v>
      </c>
      <c r="I58" s="5" t="s">
        <v>36</v>
      </c>
    </row>
    <row r="59" customFormat="false" ht="15" hidden="false" customHeight="false" outlineLevel="0" collapsed="false">
      <c r="A59" s="5" t="n">
        <v>2022</v>
      </c>
      <c r="B59" s="5" t="s">
        <v>50</v>
      </c>
      <c r="C59" s="5" t="s">
        <v>51</v>
      </c>
      <c r="D59" s="5" t="s">
        <v>52</v>
      </c>
      <c r="E59" s="5" t="n">
        <v>38</v>
      </c>
      <c r="F59" s="5" t="n">
        <v>70.3</v>
      </c>
      <c r="G59" s="5" t="n">
        <v>63</v>
      </c>
      <c r="H59" s="5" t="s">
        <v>44</v>
      </c>
      <c r="I59" s="5" t="s">
        <v>36</v>
      </c>
    </row>
    <row r="60" customFormat="false" ht="15" hidden="false" customHeight="false" outlineLevel="0" collapsed="false">
      <c r="A60" s="5" t="n">
        <v>2023</v>
      </c>
      <c r="B60" s="5" t="s">
        <v>50</v>
      </c>
      <c r="C60" s="5" t="s">
        <v>51</v>
      </c>
      <c r="D60" s="5" t="s">
        <v>52</v>
      </c>
      <c r="E60" s="5" t="n">
        <v>37</v>
      </c>
      <c r="F60" s="5" t="n">
        <v>68.5</v>
      </c>
      <c r="G60" s="5" t="n">
        <v>61</v>
      </c>
      <c r="H60" s="5" t="s">
        <v>44</v>
      </c>
      <c r="I60" s="5" t="s">
        <v>37</v>
      </c>
    </row>
    <row r="61" customFormat="false" ht="15" hidden="false" customHeight="false" outlineLevel="0" collapsed="false">
      <c r="A61" s="5" t="n">
        <v>2024</v>
      </c>
      <c r="B61" s="5" t="s">
        <v>50</v>
      </c>
      <c r="C61" s="5" t="s">
        <v>51</v>
      </c>
      <c r="D61" s="5" t="s">
        <v>52</v>
      </c>
      <c r="E61" s="5" t="n">
        <v>35</v>
      </c>
      <c r="F61" s="5" t="n">
        <v>64.8</v>
      </c>
      <c r="G61" s="5" t="n">
        <v>58</v>
      </c>
      <c r="H61" s="5" t="s">
        <v>44</v>
      </c>
      <c r="I61" s="5" t="s">
        <v>37</v>
      </c>
    </row>
    <row r="62" customFormat="false" ht="15" hidden="false" customHeight="false" outlineLevel="0" collapsed="false">
      <c r="A62" s="5" t="n">
        <v>2015</v>
      </c>
      <c r="B62" s="5" t="s">
        <v>54</v>
      </c>
      <c r="C62" s="5" t="s">
        <v>55</v>
      </c>
      <c r="D62" s="5" t="s">
        <v>52</v>
      </c>
      <c r="E62" s="5" t="n">
        <v>38</v>
      </c>
      <c r="F62" s="5" t="n">
        <v>70.3</v>
      </c>
      <c r="G62" s="5" t="n">
        <v>63</v>
      </c>
      <c r="H62" s="5" t="s">
        <v>44</v>
      </c>
      <c r="I62" s="5" t="s">
        <v>36</v>
      </c>
    </row>
    <row r="63" customFormat="false" ht="15" hidden="false" customHeight="false" outlineLevel="0" collapsed="false">
      <c r="A63" s="5" t="n">
        <v>2016</v>
      </c>
      <c r="B63" s="5" t="s">
        <v>54</v>
      </c>
      <c r="C63" s="5" t="s">
        <v>55</v>
      </c>
      <c r="D63" s="5" t="s">
        <v>52</v>
      </c>
      <c r="E63" s="5" t="n">
        <v>36</v>
      </c>
      <c r="F63" s="5" t="n">
        <v>66.6</v>
      </c>
      <c r="G63" s="5" t="n">
        <v>59</v>
      </c>
      <c r="H63" s="5" t="s">
        <v>44</v>
      </c>
      <c r="I63" s="5" t="s">
        <v>36</v>
      </c>
    </row>
    <row r="64" customFormat="false" ht="15" hidden="false" customHeight="false" outlineLevel="0" collapsed="false">
      <c r="A64" s="5" t="n">
        <v>2017</v>
      </c>
      <c r="B64" s="5" t="s">
        <v>54</v>
      </c>
      <c r="C64" s="5" t="s">
        <v>55</v>
      </c>
      <c r="D64" s="5" t="s">
        <v>52</v>
      </c>
      <c r="E64" s="5" t="n">
        <v>34</v>
      </c>
      <c r="F64" s="5" t="n">
        <v>62.9</v>
      </c>
      <c r="G64" s="5" t="n">
        <v>56</v>
      </c>
      <c r="H64" s="5" t="s">
        <v>44</v>
      </c>
      <c r="I64" s="5" t="s">
        <v>36</v>
      </c>
    </row>
    <row r="65" customFormat="false" ht="15" hidden="false" customHeight="false" outlineLevel="0" collapsed="false">
      <c r="A65" s="5" t="n">
        <v>2018</v>
      </c>
      <c r="B65" s="5" t="s">
        <v>54</v>
      </c>
      <c r="C65" s="5" t="s">
        <v>55</v>
      </c>
      <c r="D65" s="5" t="s">
        <v>52</v>
      </c>
      <c r="E65" s="5" t="n">
        <v>33</v>
      </c>
      <c r="F65" s="5" t="n">
        <v>61.1</v>
      </c>
      <c r="G65" s="5" t="n">
        <v>54</v>
      </c>
      <c r="H65" s="5" t="s">
        <v>44</v>
      </c>
      <c r="I65" s="5" t="s">
        <v>36</v>
      </c>
    </row>
    <row r="66" customFormat="false" ht="15" hidden="false" customHeight="false" outlineLevel="0" collapsed="false">
      <c r="A66" s="5" t="n">
        <v>2019</v>
      </c>
      <c r="B66" s="5" t="s">
        <v>54</v>
      </c>
      <c r="C66" s="5" t="s">
        <v>55</v>
      </c>
      <c r="D66" s="5" t="s">
        <v>52</v>
      </c>
      <c r="E66" s="5" t="n">
        <v>31</v>
      </c>
      <c r="F66" s="5" t="n">
        <v>57.4</v>
      </c>
      <c r="G66" s="5" t="n">
        <v>51</v>
      </c>
      <c r="H66" s="5" t="s">
        <v>44</v>
      </c>
      <c r="I66" s="5" t="s">
        <v>37</v>
      </c>
    </row>
    <row r="67" customFormat="false" ht="15" hidden="false" customHeight="false" outlineLevel="0" collapsed="false">
      <c r="A67" s="5" t="n">
        <v>2020</v>
      </c>
      <c r="B67" s="5" t="s">
        <v>54</v>
      </c>
      <c r="C67" s="5" t="s">
        <v>55</v>
      </c>
      <c r="D67" s="5" t="s">
        <v>52</v>
      </c>
      <c r="E67" s="5" t="n">
        <v>24</v>
      </c>
      <c r="F67" s="5" t="n">
        <v>44.4</v>
      </c>
      <c r="G67" s="5" t="n">
        <v>40</v>
      </c>
      <c r="H67" s="5" t="s">
        <v>53</v>
      </c>
      <c r="I67" s="5" t="s">
        <v>37</v>
      </c>
    </row>
    <row r="68" customFormat="false" ht="15" hidden="false" customHeight="false" outlineLevel="0" collapsed="false">
      <c r="A68" s="5" t="n">
        <v>2021</v>
      </c>
      <c r="B68" s="5" t="s">
        <v>54</v>
      </c>
      <c r="C68" s="5" t="s">
        <v>55</v>
      </c>
      <c r="D68" s="5" t="s">
        <v>52</v>
      </c>
      <c r="E68" s="5" t="n">
        <v>29</v>
      </c>
      <c r="F68" s="5" t="n">
        <v>53.7</v>
      </c>
      <c r="G68" s="5" t="n">
        <v>48</v>
      </c>
      <c r="H68" s="5" t="s">
        <v>53</v>
      </c>
      <c r="I68" s="5" t="s">
        <v>36</v>
      </c>
    </row>
    <row r="69" customFormat="false" ht="15" hidden="false" customHeight="false" outlineLevel="0" collapsed="false">
      <c r="A69" s="5" t="n">
        <v>2022</v>
      </c>
      <c r="B69" s="5" t="s">
        <v>54</v>
      </c>
      <c r="C69" s="5" t="s">
        <v>55</v>
      </c>
      <c r="D69" s="5" t="s">
        <v>52</v>
      </c>
      <c r="E69" s="5" t="n">
        <v>31</v>
      </c>
      <c r="F69" s="5" t="n">
        <v>57.4</v>
      </c>
      <c r="G69" s="5" t="n">
        <v>51</v>
      </c>
      <c r="H69" s="5" t="s">
        <v>44</v>
      </c>
      <c r="I69" s="5" t="s">
        <v>36</v>
      </c>
    </row>
    <row r="70" customFormat="false" ht="15" hidden="false" customHeight="false" outlineLevel="0" collapsed="false">
      <c r="A70" s="5" t="n">
        <v>2023</v>
      </c>
      <c r="B70" s="5" t="s">
        <v>54</v>
      </c>
      <c r="C70" s="5" t="s">
        <v>55</v>
      </c>
      <c r="D70" s="5" t="s">
        <v>52</v>
      </c>
      <c r="E70" s="5" t="n">
        <v>30</v>
      </c>
      <c r="F70" s="5" t="n">
        <v>55.5</v>
      </c>
      <c r="G70" s="5" t="n">
        <v>50</v>
      </c>
      <c r="H70" s="5" t="s">
        <v>53</v>
      </c>
      <c r="I70" s="5" t="s">
        <v>37</v>
      </c>
    </row>
    <row r="71" customFormat="false" ht="15" hidden="false" customHeight="false" outlineLevel="0" collapsed="false">
      <c r="A71" s="5" t="n">
        <v>2024</v>
      </c>
      <c r="B71" s="5" t="s">
        <v>54</v>
      </c>
      <c r="C71" s="5" t="s">
        <v>55</v>
      </c>
      <c r="D71" s="5" t="s">
        <v>52</v>
      </c>
      <c r="E71" s="5" t="n">
        <v>29</v>
      </c>
      <c r="F71" s="5" t="n">
        <v>53.7</v>
      </c>
      <c r="G71" s="5" t="n">
        <v>48</v>
      </c>
      <c r="H71" s="5" t="s">
        <v>53</v>
      </c>
      <c r="I71" s="5" t="s">
        <v>37</v>
      </c>
    </row>
    <row r="72" customFormat="false" ht="15" hidden="false" customHeight="false" outlineLevel="0" collapsed="false">
      <c r="A72" s="5" t="n">
        <v>2015</v>
      </c>
      <c r="B72" s="5" t="s">
        <v>56</v>
      </c>
      <c r="C72" s="5" t="s">
        <v>57</v>
      </c>
      <c r="D72" s="5" t="s">
        <v>52</v>
      </c>
      <c r="E72" s="5" t="n">
        <v>33</v>
      </c>
      <c r="F72" s="5" t="n">
        <v>61.1</v>
      </c>
      <c r="G72" s="5" t="n">
        <v>54</v>
      </c>
      <c r="H72" s="5" t="s">
        <v>44</v>
      </c>
      <c r="I72" s="5" t="s">
        <v>36</v>
      </c>
    </row>
    <row r="73" customFormat="false" ht="15" hidden="false" customHeight="false" outlineLevel="0" collapsed="false">
      <c r="A73" s="5" t="n">
        <v>2016</v>
      </c>
      <c r="B73" s="5" t="s">
        <v>56</v>
      </c>
      <c r="C73" s="5" t="s">
        <v>57</v>
      </c>
      <c r="D73" s="5" t="s">
        <v>52</v>
      </c>
      <c r="E73" s="5" t="n">
        <v>32</v>
      </c>
      <c r="F73" s="5" t="n">
        <v>59.2</v>
      </c>
      <c r="G73" s="5" t="n">
        <v>53</v>
      </c>
      <c r="H73" s="5" t="s">
        <v>44</v>
      </c>
      <c r="I73" s="5" t="s">
        <v>36</v>
      </c>
    </row>
    <row r="74" customFormat="false" ht="15" hidden="false" customHeight="false" outlineLevel="0" collapsed="false">
      <c r="A74" s="5" t="n">
        <v>2017</v>
      </c>
      <c r="B74" s="5" t="s">
        <v>56</v>
      </c>
      <c r="C74" s="5" t="s">
        <v>57</v>
      </c>
      <c r="D74" s="5" t="s">
        <v>52</v>
      </c>
      <c r="E74" s="5" t="n">
        <v>31</v>
      </c>
      <c r="F74" s="5" t="n">
        <v>57.4</v>
      </c>
      <c r="G74" s="5" t="n">
        <v>51</v>
      </c>
      <c r="H74" s="5" t="s">
        <v>44</v>
      </c>
      <c r="I74" s="5" t="s">
        <v>36</v>
      </c>
    </row>
    <row r="75" customFormat="false" ht="15" hidden="false" customHeight="false" outlineLevel="0" collapsed="false">
      <c r="A75" s="5" t="n">
        <v>2018</v>
      </c>
      <c r="B75" s="5" t="s">
        <v>56</v>
      </c>
      <c r="C75" s="5" t="s">
        <v>57</v>
      </c>
      <c r="D75" s="5" t="s">
        <v>52</v>
      </c>
      <c r="E75" s="5" t="n">
        <v>32</v>
      </c>
      <c r="F75" s="5" t="n">
        <v>59.2</v>
      </c>
      <c r="G75" s="5" t="n">
        <v>53</v>
      </c>
      <c r="H75" s="5" t="s">
        <v>44</v>
      </c>
      <c r="I75" s="5" t="s">
        <v>36</v>
      </c>
    </row>
    <row r="76" customFormat="false" ht="15" hidden="false" customHeight="false" outlineLevel="0" collapsed="false">
      <c r="A76" s="5" t="n">
        <v>2019</v>
      </c>
      <c r="B76" s="5" t="s">
        <v>56</v>
      </c>
      <c r="C76" s="5" t="s">
        <v>57</v>
      </c>
      <c r="D76" s="5" t="s">
        <v>52</v>
      </c>
      <c r="E76" s="5" t="n">
        <v>29</v>
      </c>
      <c r="F76" s="5" t="n">
        <v>53.7</v>
      </c>
      <c r="G76" s="5" t="n">
        <v>48</v>
      </c>
      <c r="H76" s="5" t="s">
        <v>53</v>
      </c>
      <c r="I76" s="5" t="s">
        <v>37</v>
      </c>
    </row>
    <row r="77" customFormat="false" ht="15" hidden="false" customHeight="false" outlineLevel="0" collapsed="false">
      <c r="A77" s="5" t="n">
        <v>2020</v>
      </c>
      <c r="B77" s="5" t="s">
        <v>56</v>
      </c>
      <c r="C77" s="5" t="s">
        <v>57</v>
      </c>
      <c r="D77" s="5" t="s">
        <v>52</v>
      </c>
      <c r="E77" s="5" t="n">
        <v>22</v>
      </c>
      <c r="F77" s="5" t="n">
        <v>40.7</v>
      </c>
      <c r="G77" s="5" t="n">
        <v>37</v>
      </c>
      <c r="H77" s="5" t="s">
        <v>53</v>
      </c>
      <c r="I77" s="5" t="s">
        <v>37</v>
      </c>
    </row>
    <row r="78" customFormat="false" ht="15" hidden="false" customHeight="false" outlineLevel="0" collapsed="false">
      <c r="A78" s="5" t="n">
        <v>2021</v>
      </c>
      <c r="B78" s="5" t="s">
        <v>56</v>
      </c>
      <c r="C78" s="5" t="s">
        <v>57</v>
      </c>
      <c r="D78" s="5" t="s">
        <v>52</v>
      </c>
      <c r="E78" s="5" t="n">
        <v>27</v>
      </c>
      <c r="F78" s="5" t="n">
        <v>50</v>
      </c>
      <c r="G78" s="5" t="n">
        <v>45</v>
      </c>
      <c r="H78" s="5" t="s">
        <v>53</v>
      </c>
      <c r="I78" s="5" t="s">
        <v>36</v>
      </c>
    </row>
    <row r="79" customFormat="false" ht="15" hidden="false" customHeight="false" outlineLevel="0" collapsed="false">
      <c r="A79" s="5" t="n">
        <v>2022</v>
      </c>
      <c r="B79" s="5" t="s">
        <v>56</v>
      </c>
      <c r="C79" s="5" t="s">
        <v>57</v>
      </c>
      <c r="D79" s="5" t="s">
        <v>52</v>
      </c>
      <c r="E79" s="5" t="n">
        <v>29</v>
      </c>
      <c r="F79" s="5" t="n">
        <v>53.7</v>
      </c>
      <c r="G79" s="5" t="n">
        <v>48</v>
      </c>
      <c r="H79" s="5" t="s">
        <v>53</v>
      </c>
      <c r="I79" s="5" t="s">
        <v>36</v>
      </c>
    </row>
    <row r="80" customFormat="false" ht="15" hidden="false" customHeight="false" outlineLevel="0" collapsed="false">
      <c r="A80" s="5" t="n">
        <v>2023</v>
      </c>
      <c r="B80" s="5" t="s">
        <v>56</v>
      </c>
      <c r="C80" s="5" t="s">
        <v>57</v>
      </c>
      <c r="D80" s="5" t="s">
        <v>52</v>
      </c>
      <c r="E80" s="5" t="n">
        <v>28</v>
      </c>
      <c r="F80" s="5" t="n">
        <v>51.8</v>
      </c>
      <c r="G80" s="5" t="n">
        <v>47</v>
      </c>
      <c r="H80" s="5" t="s">
        <v>53</v>
      </c>
      <c r="I80" s="5" t="s">
        <v>37</v>
      </c>
    </row>
    <row r="81" customFormat="false" ht="15" hidden="false" customHeight="false" outlineLevel="0" collapsed="false">
      <c r="A81" s="5" t="n">
        <v>2024</v>
      </c>
      <c r="B81" s="5" t="s">
        <v>56</v>
      </c>
      <c r="C81" s="5" t="s">
        <v>57</v>
      </c>
      <c r="D81" s="5" t="s">
        <v>52</v>
      </c>
      <c r="E81" s="5" t="n">
        <v>27</v>
      </c>
      <c r="F81" s="5" t="n">
        <v>50</v>
      </c>
      <c r="G81" s="5" t="n">
        <v>45</v>
      </c>
      <c r="H81" s="5" t="s">
        <v>53</v>
      </c>
      <c r="I81" s="5" t="s">
        <v>37</v>
      </c>
    </row>
  </sheetData>
  <conditionalFormatting sqref="E2:E8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1"/>
    <col collapsed="false" customWidth="true" hidden="false" outlineLevel="0" max="8" min="5" style="0" width="16"/>
    <col collapsed="false" customWidth="true" hidden="false" outlineLevel="0" max="9" min="9" style="0" width="21"/>
    <col collapsed="false" customWidth="true" hidden="false" outlineLevel="0" max="10" min="10" style="0" width="16"/>
    <col collapsed="false" customWidth="true" hidden="false" outlineLevel="0" max="11" min="11" style="0" width="19"/>
  </cols>
  <sheetData>
    <row r="1" customFormat="false" ht="52.2" hidden="false" customHeight="false" outlineLevel="0" collapsed="false">
      <c r="A1" s="6" t="s">
        <v>25</v>
      </c>
      <c r="B1" s="6" t="s">
        <v>26</v>
      </c>
      <c r="C1" s="6" t="s">
        <v>27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M1" s="6" t="s">
        <v>65</v>
      </c>
      <c r="N1" s="7" t="s">
        <v>53</v>
      </c>
      <c r="O1" s="7" t="s">
        <v>44</v>
      </c>
      <c r="P1" s="7" t="s">
        <v>38</v>
      </c>
      <c r="Q1" s="7" t="s">
        <v>35</v>
      </c>
      <c r="R1" s="7" t="s">
        <v>66</v>
      </c>
      <c r="S1" s="7" t="s">
        <v>67</v>
      </c>
    </row>
    <row r="2" customFormat="false" ht="15" hidden="false" customHeight="false" outlineLevel="0" collapsed="false">
      <c r="A2" s="5" t="s">
        <v>33</v>
      </c>
      <c r="B2" s="5" t="str">
        <f aca="false">INDEX(Raw_Data!$C$2:$C$81,MATCH($A2,Raw_Data!$B$2:$B$81,0))</f>
        <v>Delhi</v>
      </c>
      <c r="C2" s="5" t="str">
        <f aca="false">INDEX(Raw_Data!$D$2:$D$81,MATCH($A2,Raw_Data!$B$2:$B$81,0))</f>
        <v>North</v>
      </c>
      <c r="D2" s="5" t="n">
        <f aca="false">ROUND(AVERAGEIF(Raw_Data!$B$2:$B$81,$A2,Raw_Data!$E$2:$E$81),1)</f>
        <v>103.1</v>
      </c>
      <c r="E2" s="5" t="n">
        <f aca="false">_xlfn.MINIFS(Raw_Data!$E$2:$E$81,Raw_Data!$B$2:$B$81,$A2)</f>
        <v>84</v>
      </c>
      <c r="F2" s="5" t="n">
        <f aca="false">_xlfn.MAXIFS(Raw_Data!$E$2:$E$81,Raw_Data!$B$2:$B$81,$A2)</f>
        <v>119</v>
      </c>
      <c r="G2" s="5" t="n">
        <f aca="false">SUMIFS(Raw_Data!$E$2:$E$81,Raw_Data!$B$2:$B$81,$A2,Raw_Data!$A$2:$A$81,2015)</f>
        <v>119</v>
      </c>
      <c r="H2" s="5" t="n">
        <f aca="false">SUMIFS(Raw_Data!$E$2:$E$81,Raw_Data!$B$2:$B$81,$A2,Raw_Data!$A$2:$A$81,2024)</f>
        <v>103</v>
      </c>
      <c r="I2" s="8" t="n">
        <f aca="false">ROUND((H2-G2)/G2,3)</f>
        <v>-0.134</v>
      </c>
      <c r="J2" s="5" t="n">
        <f aca="false">ROUND(AVERAGEIF(Raw_Data!$B$2:$B$81,$A2,Raw_Data!$G$2:$G$81),0)</f>
        <v>243</v>
      </c>
      <c r="M2" s="5" t="str">
        <f aca="false">INDEX($N$1:$S$1,MATCH(MAX(N2:S2),N2:S2,0))</f>
        <v>Poor</v>
      </c>
      <c r="N2" s="9" t="n">
        <f aca="false">COUNTIFS(Raw_Data!$B$2:$B$81,$A2,Raw_Data!$H$2:$H$81,N$1)</f>
        <v>0</v>
      </c>
      <c r="O2" s="9" t="n">
        <f aca="false">COUNTIFS(Raw_Data!$B$2:$B$81,$A2,Raw_Data!$H$2:$H$81,O$1)</f>
        <v>0</v>
      </c>
      <c r="P2" s="9" t="n">
        <f aca="false">COUNTIFS(Raw_Data!$B$2:$B$81,$A2,Raw_Data!$H$2:$H$81,P$1)</f>
        <v>1</v>
      </c>
      <c r="Q2" s="9" t="n">
        <f aca="false">COUNTIFS(Raw_Data!$B$2:$B$81,$A2,Raw_Data!$H$2:$H$81,Q$1)</f>
        <v>9</v>
      </c>
      <c r="R2" s="9" t="n">
        <f aca="false">COUNTIFS(Raw_Data!$B$2:$B$81,$A2,Raw_Data!$H$2:$H$81,R$1)</f>
        <v>0</v>
      </c>
      <c r="S2" s="9" t="n">
        <f aca="false">COUNTIFS(Raw_Data!$B$2:$B$81,$A2,Raw_Data!$H$2:$H$81,S$1)</f>
        <v>0</v>
      </c>
    </row>
    <row r="3" customFormat="false" ht="15" hidden="false" customHeight="false" outlineLevel="0" collapsed="false">
      <c r="A3" s="5" t="s">
        <v>39</v>
      </c>
      <c r="B3" s="5" t="str">
        <f aca="false">INDEX(Raw_Data!$C$2:$C$81,MATCH($A3,Raw_Data!$B$2:$B$81,0))</f>
        <v>Uttar Pradesh</v>
      </c>
      <c r="C3" s="5" t="str">
        <f aca="false">INDEX(Raw_Data!$D$2:$D$81,MATCH($A3,Raw_Data!$B$2:$B$81,0))</f>
        <v>North</v>
      </c>
      <c r="D3" s="5" t="n">
        <f aca="false">ROUND(AVERAGEIF(Raw_Data!$B$2:$B$81,$A3,Raw_Data!$E$2:$E$81),1)</f>
        <v>91</v>
      </c>
      <c r="E3" s="5" t="n">
        <f aca="false">_xlfn.MINIFS(Raw_Data!$E$2:$E$81,Raw_Data!$B$2:$B$81,$A3)</f>
        <v>70</v>
      </c>
      <c r="F3" s="5" t="n">
        <f aca="false">_xlfn.MAXIFS(Raw_Data!$E$2:$E$81,Raw_Data!$B$2:$B$81,$A3)</f>
        <v>105</v>
      </c>
      <c r="G3" s="5" t="n">
        <f aca="false">SUMIFS(Raw_Data!$E$2:$E$81,Raw_Data!$B$2:$B$81,$A3,Raw_Data!$A$2:$A$81,2015)</f>
        <v>105</v>
      </c>
      <c r="H3" s="5" t="n">
        <f aca="false">SUMIFS(Raw_Data!$E$2:$E$81,Raw_Data!$B$2:$B$81,$A3,Raw_Data!$A$2:$A$81,2024)</f>
        <v>86</v>
      </c>
      <c r="I3" s="8" t="n">
        <f aca="false">ROUND((H3-G3)/G3,3)</f>
        <v>-0.181</v>
      </c>
      <c r="J3" s="5" t="n">
        <f aca="false">ROUND(AVERAGEIF(Raw_Data!$B$2:$B$81,$A3,Raw_Data!$G$2:$G$81),0)</f>
        <v>202</v>
      </c>
      <c r="M3" s="5" t="str">
        <f aca="false">INDEX($N$1:$S$1,MATCH(MAX(N3:S3),N3:S3,0))</f>
        <v>Moderate</v>
      </c>
      <c r="N3" s="9" t="n">
        <f aca="false">COUNTIFS(Raw_Data!$B$2:$B$81,$A3,Raw_Data!$H$2:$H$81,N$1)</f>
        <v>0</v>
      </c>
      <c r="O3" s="9" t="n">
        <f aca="false">COUNTIFS(Raw_Data!$B$2:$B$81,$A3,Raw_Data!$H$2:$H$81,O$1)</f>
        <v>0</v>
      </c>
      <c r="P3" s="9" t="n">
        <f aca="false">COUNTIFS(Raw_Data!$B$2:$B$81,$A3,Raw_Data!$H$2:$H$81,P$1)</f>
        <v>5</v>
      </c>
      <c r="Q3" s="9" t="n">
        <f aca="false">COUNTIFS(Raw_Data!$B$2:$B$81,$A3,Raw_Data!$H$2:$H$81,Q$1)</f>
        <v>5</v>
      </c>
      <c r="R3" s="9" t="n">
        <f aca="false">COUNTIFS(Raw_Data!$B$2:$B$81,$A3,Raw_Data!$H$2:$H$81,R$1)</f>
        <v>0</v>
      </c>
      <c r="S3" s="9" t="n">
        <f aca="false">COUNTIFS(Raw_Data!$B$2:$B$81,$A3,Raw_Data!$H$2:$H$81,S$1)</f>
        <v>0</v>
      </c>
    </row>
    <row r="4" customFormat="false" ht="15" hidden="false" customHeight="false" outlineLevel="0" collapsed="false">
      <c r="A4" s="5" t="s">
        <v>41</v>
      </c>
      <c r="B4" s="5" t="str">
        <f aca="false">INDEX(Raw_Data!$C$2:$C$81,MATCH($A4,Raw_Data!$B$2:$B$81,0))</f>
        <v>West Bengal</v>
      </c>
      <c r="C4" s="5" t="str">
        <f aca="false">INDEX(Raw_Data!$D$2:$D$81,MATCH($A4,Raw_Data!$B$2:$B$81,0))</f>
        <v>East</v>
      </c>
      <c r="D4" s="5" t="n">
        <f aca="false">ROUND(AVERAGEIF(Raw_Data!$B$2:$B$81,$A4,Raw_Data!$E$2:$E$81),1)</f>
        <v>58.2</v>
      </c>
      <c r="E4" s="5" t="n">
        <f aca="false">_xlfn.MINIFS(Raw_Data!$E$2:$E$81,Raw_Data!$B$2:$B$81,$A4)</f>
        <v>44</v>
      </c>
      <c r="F4" s="5" t="n">
        <f aca="false">_xlfn.MAXIFS(Raw_Data!$E$2:$E$81,Raw_Data!$B$2:$B$81,$A4)</f>
        <v>68</v>
      </c>
      <c r="G4" s="5" t="n">
        <f aca="false">SUMIFS(Raw_Data!$E$2:$E$81,Raw_Data!$B$2:$B$81,$A4,Raw_Data!$A$2:$A$81,2015)</f>
        <v>68</v>
      </c>
      <c r="H4" s="5" t="n">
        <f aca="false">SUMIFS(Raw_Data!$E$2:$E$81,Raw_Data!$B$2:$B$81,$A4,Raw_Data!$A$2:$A$81,2024)</f>
        <v>53</v>
      </c>
      <c r="I4" s="8" t="n">
        <f aca="false">ROUND((H4-G4)/G4,3)</f>
        <v>-0.221</v>
      </c>
      <c r="J4" s="5" t="n">
        <f aca="false">ROUND(AVERAGEIF(Raw_Data!$B$2:$B$81,$A4,Raw_Data!$G$2:$G$81),0)</f>
        <v>99</v>
      </c>
      <c r="M4" s="5" t="str">
        <f aca="false">INDEX($N$1:$S$1,MATCH(MAX(N4:S4),N4:S4,0))</f>
        <v>Satisfactory</v>
      </c>
      <c r="N4" s="9" t="n">
        <f aca="false">COUNTIFS(Raw_Data!$B$2:$B$81,$A4,Raw_Data!$H$2:$H$81,N$1)</f>
        <v>0</v>
      </c>
      <c r="O4" s="9" t="n">
        <f aca="false">COUNTIFS(Raw_Data!$B$2:$B$81,$A4,Raw_Data!$H$2:$H$81,O$1)</f>
        <v>6</v>
      </c>
      <c r="P4" s="9" t="n">
        <f aca="false">COUNTIFS(Raw_Data!$B$2:$B$81,$A4,Raw_Data!$H$2:$H$81,P$1)</f>
        <v>4</v>
      </c>
      <c r="Q4" s="9" t="n">
        <f aca="false">COUNTIFS(Raw_Data!$B$2:$B$81,$A4,Raw_Data!$H$2:$H$81,Q$1)</f>
        <v>0</v>
      </c>
      <c r="R4" s="9" t="n">
        <f aca="false">COUNTIFS(Raw_Data!$B$2:$B$81,$A4,Raw_Data!$H$2:$H$81,R$1)</f>
        <v>0</v>
      </c>
      <c r="S4" s="9" t="n">
        <f aca="false">COUNTIFS(Raw_Data!$B$2:$B$81,$A4,Raw_Data!$H$2:$H$81,S$1)</f>
        <v>0</v>
      </c>
    </row>
    <row r="5" customFormat="false" ht="15" hidden="false" customHeight="false" outlineLevel="0" collapsed="false">
      <c r="A5" s="5" t="s">
        <v>45</v>
      </c>
      <c r="B5" s="5" t="str">
        <f aca="false">INDEX(Raw_Data!$C$2:$C$81,MATCH($A5,Raw_Data!$B$2:$B$81,0))</f>
        <v>Gujarat</v>
      </c>
      <c r="C5" s="5" t="str">
        <f aca="false">INDEX(Raw_Data!$D$2:$D$81,MATCH($A5,Raw_Data!$B$2:$B$81,0))</f>
        <v>West</v>
      </c>
      <c r="D5" s="5" t="n">
        <f aca="false">ROUND(AVERAGEIF(Raw_Data!$B$2:$B$81,$A5,Raw_Data!$E$2:$E$81),1)</f>
        <v>53.2</v>
      </c>
      <c r="E5" s="5" t="n">
        <f aca="false">_xlfn.MINIFS(Raw_Data!$E$2:$E$81,Raw_Data!$B$2:$B$81,$A5)</f>
        <v>41</v>
      </c>
      <c r="F5" s="5" t="n">
        <f aca="false">_xlfn.MAXIFS(Raw_Data!$E$2:$E$81,Raw_Data!$B$2:$B$81,$A5)</f>
        <v>62</v>
      </c>
      <c r="G5" s="5" t="n">
        <f aca="false">SUMIFS(Raw_Data!$E$2:$E$81,Raw_Data!$B$2:$B$81,$A5,Raw_Data!$A$2:$A$81,2015)</f>
        <v>62</v>
      </c>
      <c r="H5" s="5" t="n">
        <f aca="false">SUMIFS(Raw_Data!$E$2:$E$81,Raw_Data!$B$2:$B$81,$A5,Raw_Data!$A$2:$A$81,2024)</f>
        <v>49</v>
      </c>
      <c r="I5" s="8" t="n">
        <f aca="false">ROUND((H5-G5)/G5,3)</f>
        <v>-0.21</v>
      </c>
      <c r="J5" s="5" t="n">
        <f aca="false">ROUND(AVERAGEIF(Raw_Data!$B$2:$B$81,$A5,Raw_Data!$G$2:$G$81),0)</f>
        <v>89</v>
      </c>
      <c r="M5" s="5" t="str">
        <f aca="false">INDEX($N$1:$S$1,MATCH(MAX(N5:S5),N5:S5,0))</f>
        <v>Satisfactory</v>
      </c>
      <c r="N5" s="9" t="n">
        <f aca="false">COUNTIFS(Raw_Data!$B$2:$B$81,$A5,Raw_Data!$H$2:$H$81,N$1)</f>
        <v>0</v>
      </c>
      <c r="O5" s="9" t="n">
        <f aca="false">COUNTIFS(Raw_Data!$B$2:$B$81,$A5,Raw_Data!$H$2:$H$81,O$1)</f>
        <v>9</v>
      </c>
      <c r="P5" s="9" t="n">
        <f aca="false">COUNTIFS(Raw_Data!$B$2:$B$81,$A5,Raw_Data!$H$2:$H$81,P$1)</f>
        <v>1</v>
      </c>
      <c r="Q5" s="9" t="n">
        <f aca="false">COUNTIFS(Raw_Data!$B$2:$B$81,$A5,Raw_Data!$H$2:$H$81,Q$1)</f>
        <v>0</v>
      </c>
      <c r="R5" s="9" t="n">
        <f aca="false">COUNTIFS(Raw_Data!$B$2:$B$81,$A5,Raw_Data!$H$2:$H$81,R$1)</f>
        <v>0</v>
      </c>
      <c r="S5" s="9" t="n">
        <f aca="false">COUNTIFS(Raw_Data!$B$2:$B$81,$A5,Raw_Data!$H$2:$H$81,S$1)</f>
        <v>0</v>
      </c>
    </row>
    <row r="6" customFormat="false" ht="15" hidden="false" customHeight="false" outlineLevel="0" collapsed="false">
      <c r="A6" s="5" t="s">
        <v>48</v>
      </c>
      <c r="B6" s="5" t="str">
        <f aca="false">INDEX(Raw_Data!$C$2:$C$81,MATCH($A6,Raw_Data!$B$2:$B$81,0))</f>
        <v>Maharashtra</v>
      </c>
      <c r="C6" s="5" t="str">
        <f aca="false">INDEX(Raw_Data!$D$2:$D$81,MATCH($A6,Raw_Data!$B$2:$B$81,0))</f>
        <v>West</v>
      </c>
      <c r="D6" s="5" t="n">
        <f aca="false">ROUND(AVERAGEIF(Raw_Data!$B$2:$B$81,$A6,Raw_Data!$E$2:$E$81),1)</f>
        <v>43.8</v>
      </c>
      <c r="E6" s="5" t="n">
        <f aca="false">_xlfn.MINIFS(Raw_Data!$E$2:$E$81,Raw_Data!$B$2:$B$81,$A6)</f>
        <v>33</v>
      </c>
      <c r="F6" s="5" t="n">
        <f aca="false">_xlfn.MAXIFS(Raw_Data!$E$2:$E$81,Raw_Data!$B$2:$B$81,$A6)</f>
        <v>50</v>
      </c>
      <c r="G6" s="5" t="n">
        <f aca="false">SUMIFS(Raw_Data!$E$2:$E$81,Raw_Data!$B$2:$B$81,$A6,Raw_Data!$A$2:$A$81,2015)</f>
        <v>50</v>
      </c>
      <c r="H6" s="5" t="n">
        <f aca="false">SUMIFS(Raw_Data!$E$2:$E$81,Raw_Data!$B$2:$B$81,$A6,Raw_Data!$A$2:$A$81,2024)</f>
        <v>41</v>
      </c>
      <c r="I6" s="8" t="n">
        <f aca="false">ROUND((H6-G6)/G6,3)</f>
        <v>-0.18</v>
      </c>
      <c r="J6" s="5" t="n">
        <f aca="false">ROUND(AVERAGEIF(Raw_Data!$B$2:$B$81,$A6,Raw_Data!$G$2:$G$81),0)</f>
        <v>73</v>
      </c>
      <c r="M6" s="5" t="str">
        <f aca="false">INDEX($N$1:$S$1,MATCH(MAX(N6:S6),N6:S6,0))</f>
        <v>Satisfactory</v>
      </c>
      <c r="N6" s="9" t="n">
        <f aca="false">COUNTIFS(Raw_Data!$B$2:$B$81,$A6,Raw_Data!$H$2:$H$81,N$1)</f>
        <v>0</v>
      </c>
      <c r="O6" s="9" t="n">
        <f aca="false">COUNTIFS(Raw_Data!$B$2:$B$81,$A6,Raw_Data!$H$2:$H$81,O$1)</f>
        <v>10</v>
      </c>
      <c r="P6" s="9" t="n">
        <f aca="false">COUNTIFS(Raw_Data!$B$2:$B$81,$A6,Raw_Data!$H$2:$H$81,P$1)</f>
        <v>0</v>
      </c>
      <c r="Q6" s="9" t="n">
        <f aca="false">COUNTIFS(Raw_Data!$B$2:$B$81,$A6,Raw_Data!$H$2:$H$81,Q$1)</f>
        <v>0</v>
      </c>
      <c r="R6" s="9" t="n">
        <f aca="false">COUNTIFS(Raw_Data!$B$2:$B$81,$A6,Raw_Data!$H$2:$H$81,R$1)</f>
        <v>0</v>
      </c>
      <c r="S6" s="9" t="n">
        <f aca="false">COUNTIFS(Raw_Data!$B$2:$B$81,$A6,Raw_Data!$H$2:$H$81,S$1)</f>
        <v>0</v>
      </c>
    </row>
    <row r="7" customFormat="false" ht="15" hidden="false" customHeight="false" outlineLevel="0" collapsed="false">
      <c r="A7" s="5" t="s">
        <v>50</v>
      </c>
      <c r="B7" s="5" t="str">
        <f aca="false">INDEX(Raw_Data!$C$2:$C$81,MATCH($A7,Raw_Data!$B$2:$B$81,0))</f>
        <v>Telangana</v>
      </c>
      <c r="C7" s="5" t="str">
        <f aca="false">INDEX(Raw_Data!$D$2:$D$81,MATCH($A7,Raw_Data!$B$2:$B$81,0))</f>
        <v>South</v>
      </c>
      <c r="D7" s="5" t="n">
        <f aca="false">ROUND(AVERAGEIF(Raw_Data!$B$2:$B$81,$A7,Raw_Data!$E$2:$E$81),1)</f>
        <v>38.3</v>
      </c>
      <c r="E7" s="5" t="n">
        <f aca="false">_xlfn.MINIFS(Raw_Data!$E$2:$E$81,Raw_Data!$B$2:$B$81,$A7)</f>
        <v>29</v>
      </c>
      <c r="F7" s="5" t="n">
        <f aca="false">_xlfn.MAXIFS(Raw_Data!$E$2:$E$81,Raw_Data!$B$2:$B$81,$A7)</f>
        <v>45</v>
      </c>
      <c r="G7" s="5" t="n">
        <f aca="false">SUMIFS(Raw_Data!$E$2:$E$81,Raw_Data!$B$2:$B$81,$A7,Raw_Data!$A$2:$A$81,2015)</f>
        <v>45</v>
      </c>
      <c r="H7" s="5" t="n">
        <f aca="false">SUMIFS(Raw_Data!$E$2:$E$81,Raw_Data!$B$2:$B$81,$A7,Raw_Data!$A$2:$A$81,2024)</f>
        <v>35</v>
      </c>
      <c r="I7" s="8" t="n">
        <f aca="false">ROUND((H7-G7)/G7,3)</f>
        <v>-0.222</v>
      </c>
      <c r="J7" s="5" t="n">
        <f aca="false">ROUND(AVERAGEIF(Raw_Data!$B$2:$B$81,$A7,Raw_Data!$G$2:$G$81),0)</f>
        <v>64</v>
      </c>
      <c r="M7" s="5" t="str">
        <f aca="false">INDEX($N$1:$S$1,MATCH(MAX(N7:S7),N7:S7,0))</f>
        <v>Satisfactory</v>
      </c>
      <c r="N7" s="9" t="n">
        <f aca="false">COUNTIFS(Raw_Data!$B$2:$B$81,$A7,Raw_Data!$H$2:$H$81,N$1)</f>
        <v>1</v>
      </c>
      <c r="O7" s="9" t="n">
        <f aca="false">COUNTIFS(Raw_Data!$B$2:$B$81,$A7,Raw_Data!$H$2:$H$81,O$1)</f>
        <v>9</v>
      </c>
      <c r="P7" s="9" t="n">
        <f aca="false">COUNTIFS(Raw_Data!$B$2:$B$81,$A7,Raw_Data!$H$2:$H$81,P$1)</f>
        <v>0</v>
      </c>
      <c r="Q7" s="9" t="n">
        <f aca="false">COUNTIFS(Raw_Data!$B$2:$B$81,$A7,Raw_Data!$H$2:$H$81,Q$1)</f>
        <v>0</v>
      </c>
      <c r="R7" s="9" t="n">
        <f aca="false">COUNTIFS(Raw_Data!$B$2:$B$81,$A7,Raw_Data!$H$2:$H$81,R$1)</f>
        <v>0</v>
      </c>
      <c r="S7" s="9" t="n">
        <f aca="false">COUNTIFS(Raw_Data!$B$2:$B$81,$A7,Raw_Data!$H$2:$H$81,S$1)</f>
        <v>0</v>
      </c>
    </row>
    <row r="8" customFormat="false" ht="15" hidden="false" customHeight="false" outlineLevel="0" collapsed="false">
      <c r="A8" s="5" t="s">
        <v>54</v>
      </c>
      <c r="B8" s="5" t="str">
        <f aca="false">INDEX(Raw_Data!$C$2:$C$81,MATCH($A8,Raw_Data!$B$2:$B$81,0))</f>
        <v>Karnataka</v>
      </c>
      <c r="C8" s="5" t="str">
        <f aca="false">INDEX(Raw_Data!$D$2:$D$81,MATCH($A8,Raw_Data!$B$2:$B$81,0))</f>
        <v>South</v>
      </c>
      <c r="D8" s="5" t="n">
        <f aca="false">ROUND(AVERAGEIF(Raw_Data!$B$2:$B$81,$A8,Raw_Data!$E$2:$E$81),1)</f>
        <v>31.5</v>
      </c>
      <c r="E8" s="5" t="n">
        <f aca="false">_xlfn.MINIFS(Raw_Data!$E$2:$E$81,Raw_Data!$B$2:$B$81,$A8)</f>
        <v>24</v>
      </c>
      <c r="F8" s="5" t="n">
        <f aca="false">_xlfn.MAXIFS(Raw_Data!$E$2:$E$81,Raw_Data!$B$2:$B$81,$A8)</f>
        <v>38</v>
      </c>
      <c r="G8" s="5" t="n">
        <f aca="false">SUMIFS(Raw_Data!$E$2:$E$81,Raw_Data!$B$2:$B$81,$A8,Raw_Data!$A$2:$A$81,2015)</f>
        <v>38</v>
      </c>
      <c r="H8" s="5" t="n">
        <f aca="false">SUMIFS(Raw_Data!$E$2:$E$81,Raw_Data!$B$2:$B$81,$A8,Raw_Data!$A$2:$A$81,2024)</f>
        <v>29</v>
      </c>
      <c r="I8" s="8" t="n">
        <f aca="false">ROUND((H8-G8)/G8,3)</f>
        <v>-0.237</v>
      </c>
      <c r="J8" s="5" t="n">
        <f aca="false">ROUND(AVERAGEIF(Raw_Data!$B$2:$B$81,$A8,Raw_Data!$G$2:$G$81),0)</f>
        <v>52</v>
      </c>
      <c r="M8" s="5" t="str">
        <f aca="false">INDEX($N$1:$S$1,MATCH(MAX(N8:S8),N8:S8,0))</f>
        <v>Satisfactory</v>
      </c>
      <c r="N8" s="9" t="n">
        <f aca="false">COUNTIFS(Raw_Data!$B$2:$B$81,$A8,Raw_Data!$H$2:$H$81,N$1)</f>
        <v>4</v>
      </c>
      <c r="O8" s="9" t="n">
        <f aca="false">COUNTIFS(Raw_Data!$B$2:$B$81,$A8,Raw_Data!$H$2:$H$81,O$1)</f>
        <v>6</v>
      </c>
      <c r="P8" s="9" t="n">
        <f aca="false">COUNTIFS(Raw_Data!$B$2:$B$81,$A8,Raw_Data!$H$2:$H$81,P$1)</f>
        <v>0</v>
      </c>
      <c r="Q8" s="9" t="n">
        <f aca="false">COUNTIFS(Raw_Data!$B$2:$B$81,$A8,Raw_Data!$H$2:$H$81,Q$1)</f>
        <v>0</v>
      </c>
      <c r="R8" s="9" t="n">
        <f aca="false">COUNTIFS(Raw_Data!$B$2:$B$81,$A8,Raw_Data!$H$2:$H$81,R$1)</f>
        <v>0</v>
      </c>
      <c r="S8" s="9" t="n">
        <f aca="false">COUNTIFS(Raw_Data!$B$2:$B$81,$A8,Raw_Data!$H$2:$H$81,S$1)</f>
        <v>0</v>
      </c>
    </row>
    <row r="9" customFormat="false" ht="15" hidden="false" customHeight="false" outlineLevel="0" collapsed="false">
      <c r="A9" s="5" t="s">
        <v>56</v>
      </c>
      <c r="B9" s="5" t="str">
        <f aca="false">INDEX(Raw_Data!$C$2:$C$81,MATCH($A9,Raw_Data!$B$2:$B$81,0))</f>
        <v>Tamil Nadu</v>
      </c>
      <c r="C9" s="5" t="str">
        <f aca="false">INDEX(Raw_Data!$D$2:$D$81,MATCH($A9,Raw_Data!$B$2:$B$81,0))</f>
        <v>South</v>
      </c>
      <c r="D9" s="5" t="n">
        <f aca="false">ROUND(AVERAGEIF(Raw_Data!$B$2:$B$81,$A9,Raw_Data!$E$2:$E$81),1)</f>
        <v>29</v>
      </c>
      <c r="E9" s="5" t="n">
        <f aca="false">_xlfn.MINIFS(Raw_Data!$E$2:$E$81,Raw_Data!$B$2:$B$81,$A9)</f>
        <v>22</v>
      </c>
      <c r="F9" s="5" t="n">
        <f aca="false">_xlfn.MAXIFS(Raw_Data!$E$2:$E$81,Raw_Data!$B$2:$B$81,$A9)</f>
        <v>33</v>
      </c>
      <c r="G9" s="5" t="n">
        <f aca="false">SUMIFS(Raw_Data!$E$2:$E$81,Raw_Data!$B$2:$B$81,$A9,Raw_Data!$A$2:$A$81,2015)</f>
        <v>33</v>
      </c>
      <c r="H9" s="5" t="n">
        <f aca="false">SUMIFS(Raw_Data!$E$2:$E$81,Raw_Data!$B$2:$B$81,$A9,Raw_Data!$A$2:$A$81,2024)</f>
        <v>27</v>
      </c>
      <c r="I9" s="8" t="n">
        <f aca="false">ROUND((H9-G9)/G9,3)</f>
        <v>-0.182</v>
      </c>
      <c r="J9" s="5" t="n">
        <f aca="false">ROUND(AVERAGEIF(Raw_Data!$B$2:$B$81,$A9,Raw_Data!$G$2:$G$81),0)</f>
        <v>48</v>
      </c>
      <c r="M9" s="5" t="str">
        <f aca="false">INDEX($N$1:$S$1,MATCH(MAX(N9:S9),N9:S9,0))</f>
        <v>Good</v>
      </c>
      <c r="N9" s="9" t="n">
        <f aca="false">COUNTIFS(Raw_Data!$B$2:$B$81,$A9,Raw_Data!$H$2:$H$81,N$1)</f>
        <v>6</v>
      </c>
      <c r="O9" s="9" t="n">
        <f aca="false">COUNTIFS(Raw_Data!$B$2:$B$81,$A9,Raw_Data!$H$2:$H$81,O$1)</f>
        <v>4</v>
      </c>
      <c r="P9" s="9" t="n">
        <f aca="false">COUNTIFS(Raw_Data!$B$2:$B$81,$A9,Raw_Data!$H$2:$H$81,P$1)</f>
        <v>0</v>
      </c>
      <c r="Q9" s="9" t="n">
        <f aca="false">COUNTIFS(Raw_Data!$B$2:$B$81,$A9,Raw_Data!$H$2:$H$81,Q$1)</f>
        <v>0</v>
      </c>
      <c r="R9" s="9" t="n">
        <f aca="false">COUNTIFS(Raw_Data!$B$2:$B$81,$A9,Raw_Data!$H$2:$H$81,R$1)</f>
        <v>0</v>
      </c>
      <c r="S9" s="9" t="n">
        <f aca="false">COUNTIFS(Raw_Data!$B$2:$B$81,$A9,Raw_Data!$H$2:$H$81,S$1)</f>
        <v>0</v>
      </c>
    </row>
    <row r="11" customFormat="false" ht="15" hidden="false" customHeight="false" outlineLevel="0" collapsed="false">
      <c r="A11" s="7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0" t="s">
        <v>24</v>
      </c>
      <c r="B1" s="10" t="s">
        <v>69</v>
      </c>
      <c r="C1" s="10" t="s">
        <v>70</v>
      </c>
      <c r="D1" s="10" t="s">
        <v>71</v>
      </c>
    </row>
    <row r="2" customFormat="false" ht="15" hidden="false" customHeight="false" outlineLevel="0" collapsed="false">
      <c r="A2" s="3" t="n">
        <v>2015</v>
      </c>
      <c r="B2" s="3" t="n">
        <f aca="false">ROUND(AVERAGEIF(Raw_Data!$A$2:$A$81,$A2,Raw_Data!$E$2:$E$81),1)</f>
        <v>65</v>
      </c>
      <c r="C2" s="3" t="n">
        <f aca="false">ROUND(AVERAGEIF(Raw_Data!$A$2:$A$81,$A2,Raw_Data!$F$2:$F$81),1)</f>
        <v>132.3</v>
      </c>
      <c r="D2" s="3" t="n">
        <f aca="false">ROUND(AVERAGEIF(Raw_Data!$A$2:$A$81,$A2,Raw_Data!$G$2:$G$81),0)</f>
        <v>131</v>
      </c>
    </row>
    <row r="3" customFormat="false" ht="15" hidden="false" customHeight="false" outlineLevel="0" collapsed="false">
      <c r="A3" s="3" t="n">
        <v>2016</v>
      </c>
      <c r="B3" s="3" t="n">
        <f aca="false">ROUND(AVERAGEIF(Raw_Data!$A$2:$A$81,$A3,Raw_Data!$E$2:$E$81),1)</f>
        <v>62.4</v>
      </c>
      <c r="C3" s="3" t="n">
        <f aca="false">ROUND(AVERAGEIF(Raw_Data!$A$2:$A$81,$A3,Raw_Data!$F$2:$F$81),1)</f>
        <v>127</v>
      </c>
      <c r="D3" s="3" t="n">
        <f aca="false">ROUND(AVERAGEIF(Raw_Data!$A$2:$A$81,$A3,Raw_Data!$G$2:$G$81),0)</f>
        <v>124</v>
      </c>
    </row>
    <row r="4" customFormat="false" ht="15" hidden="false" customHeight="false" outlineLevel="0" collapsed="false">
      <c r="A4" s="3" t="n">
        <v>2017</v>
      </c>
      <c r="B4" s="3" t="n">
        <f aca="false">ROUND(AVERAGEIF(Raw_Data!$A$2:$A$81,$A4,Raw_Data!$E$2:$E$81),1)</f>
        <v>59.9</v>
      </c>
      <c r="C4" s="3" t="n">
        <f aca="false">ROUND(AVERAGEIF(Raw_Data!$A$2:$A$81,$A4,Raw_Data!$F$2:$F$81),1)</f>
        <v>121.9</v>
      </c>
      <c r="D4" s="3" t="n">
        <f aca="false">ROUND(AVERAGEIF(Raw_Data!$A$2:$A$81,$A4,Raw_Data!$G$2:$G$81),0)</f>
        <v>117</v>
      </c>
    </row>
    <row r="5" customFormat="false" ht="15" hidden="false" customHeight="false" outlineLevel="0" collapsed="false">
      <c r="A5" s="3" t="n">
        <v>2018</v>
      </c>
      <c r="B5" s="3" t="n">
        <f aca="false">ROUND(AVERAGEIF(Raw_Data!$A$2:$A$81,$A5,Raw_Data!$E$2:$E$81),1)</f>
        <v>60.8</v>
      </c>
      <c r="C5" s="3" t="n">
        <f aca="false">ROUND(AVERAGEIF(Raw_Data!$A$2:$A$81,$A5,Raw_Data!$F$2:$F$81),1)</f>
        <v>123.7</v>
      </c>
      <c r="D5" s="3" t="n">
        <f aca="false">ROUND(AVERAGEIF(Raw_Data!$A$2:$A$81,$A5,Raw_Data!$G$2:$G$81),0)</f>
        <v>120</v>
      </c>
    </row>
    <row r="6" customFormat="false" ht="15" hidden="false" customHeight="false" outlineLevel="0" collapsed="false">
      <c r="A6" s="3" t="n">
        <v>2019</v>
      </c>
      <c r="B6" s="3" t="n">
        <f aca="false">ROUND(AVERAGEIF(Raw_Data!$A$2:$A$81,$A6,Raw_Data!$E$2:$E$81),1)</f>
        <v>55.4</v>
      </c>
      <c r="C6" s="3" t="n">
        <f aca="false">ROUND(AVERAGEIF(Raw_Data!$A$2:$A$81,$A6,Raw_Data!$F$2:$F$81),1)</f>
        <v>112.7</v>
      </c>
      <c r="D6" s="3" t="n">
        <f aca="false">ROUND(AVERAGEIF(Raw_Data!$A$2:$A$81,$A6,Raw_Data!$G$2:$G$81),0)</f>
        <v>106</v>
      </c>
    </row>
    <row r="7" customFormat="false" ht="15" hidden="false" customHeight="false" outlineLevel="0" collapsed="false">
      <c r="A7" s="3" t="n">
        <v>2020</v>
      </c>
      <c r="B7" s="3" t="n">
        <f aca="false">ROUND(AVERAGEIF(Raw_Data!$A$2:$A$81,$A7,Raw_Data!$E$2:$E$81),1)</f>
        <v>43.4</v>
      </c>
      <c r="C7" s="3" t="n">
        <f aca="false">ROUND(AVERAGEIF(Raw_Data!$A$2:$A$81,$A7,Raw_Data!$F$2:$F$81),1)</f>
        <v>88.4</v>
      </c>
      <c r="D7" s="3" t="n">
        <f aca="false">ROUND(AVERAGEIF(Raw_Data!$A$2:$A$81,$A7,Raw_Data!$G$2:$G$81),0)</f>
        <v>79</v>
      </c>
    </row>
    <row r="8" customFormat="false" ht="15" hidden="false" customHeight="false" outlineLevel="0" collapsed="false">
      <c r="A8" s="3" t="n">
        <v>2021</v>
      </c>
      <c r="B8" s="3" t="n">
        <f aca="false">ROUND(AVERAGEIF(Raw_Data!$A$2:$A$81,$A8,Raw_Data!$E$2:$E$81),1)</f>
        <v>52</v>
      </c>
      <c r="C8" s="3" t="n">
        <f aca="false">ROUND(AVERAGEIF(Raw_Data!$A$2:$A$81,$A8,Raw_Data!$F$2:$F$81),1)</f>
        <v>105.9</v>
      </c>
      <c r="D8" s="3" t="n">
        <f aca="false">ROUND(AVERAGEIF(Raw_Data!$A$2:$A$81,$A8,Raw_Data!$G$2:$G$81),0)</f>
        <v>99</v>
      </c>
    </row>
    <row r="9" customFormat="false" ht="15" hidden="false" customHeight="false" outlineLevel="0" collapsed="false">
      <c r="A9" s="3" t="n">
        <v>2022</v>
      </c>
      <c r="B9" s="3" t="n">
        <f aca="false">ROUND(AVERAGEIF(Raw_Data!$A$2:$A$81,$A9,Raw_Data!$E$2:$E$81),1)</f>
        <v>55.3</v>
      </c>
      <c r="C9" s="3" t="n">
        <f aca="false">ROUND(AVERAGEIF(Raw_Data!$A$2:$A$81,$A9,Raw_Data!$F$2:$F$81),1)</f>
        <v>112.5</v>
      </c>
      <c r="D9" s="3" t="n">
        <f aca="false">ROUND(AVERAGEIF(Raw_Data!$A$2:$A$81,$A9,Raw_Data!$G$2:$G$81),0)</f>
        <v>106</v>
      </c>
    </row>
    <row r="10" customFormat="false" ht="15" hidden="false" customHeight="false" outlineLevel="0" collapsed="false">
      <c r="A10" s="3" t="n">
        <v>2023</v>
      </c>
      <c r="B10" s="3" t="n">
        <f aca="false">ROUND(AVERAGEIF(Raw_Data!$A$2:$A$81,$A10,Raw_Data!$E$2:$E$81),1)</f>
        <v>53.3</v>
      </c>
      <c r="C10" s="3" t="n">
        <f aca="false">ROUND(AVERAGEIF(Raw_Data!$A$2:$A$81,$A10,Raw_Data!$F$2:$F$81),1)</f>
        <v>108.3</v>
      </c>
      <c r="D10" s="3" t="n">
        <f aca="false">ROUND(AVERAGEIF(Raw_Data!$A$2:$A$81,$A10,Raw_Data!$G$2:$G$81),0)</f>
        <v>101</v>
      </c>
    </row>
    <row r="11" customFormat="false" ht="15" hidden="false" customHeight="false" outlineLevel="0" collapsed="false">
      <c r="A11" s="3" t="n">
        <v>2024</v>
      </c>
      <c r="B11" s="3" t="n">
        <f aca="false">ROUND(AVERAGEIF(Raw_Data!$A$2:$A$81,$A11,Raw_Data!$E$2:$E$81),1)</f>
        <v>52.9</v>
      </c>
      <c r="C11" s="3" t="n">
        <f aca="false">ROUND(AVERAGEIF(Raw_Data!$A$2:$A$81,$A11,Raw_Data!$F$2:$F$81),1)</f>
        <v>107.8</v>
      </c>
      <c r="D11" s="3" t="n">
        <f aca="false">ROUND(AVERAGEIF(Raw_Data!$A$2:$A$81,$A11,Raw_Data!$G$2:$G$81),0)</f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8"/>
  </cols>
  <sheetData>
    <row r="1" customFormat="false" ht="15" hidden="false" customHeight="false" outlineLevel="0" collapsed="false">
      <c r="A1" s="10" t="s">
        <v>25</v>
      </c>
      <c r="B1" s="10" t="n">
        <v>2015</v>
      </c>
      <c r="C1" s="10" t="n">
        <v>2016</v>
      </c>
      <c r="D1" s="10" t="n">
        <v>2017</v>
      </c>
      <c r="E1" s="10" t="n">
        <v>2018</v>
      </c>
      <c r="F1" s="10" t="n">
        <v>2019</v>
      </c>
      <c r="G1" s="10" t="n">
        <v>2020</v>
      </c>
      <c r="H1" s="10" t="n">
        <v>2021</v>
      </c>
      <c r="I1" s="10" t="n">
        <v>2022</v>
      </c>
      <c r="J1" s="10" t="n">
        <v>2023</v>
      </c>
      <c r="K1" s="10" t="n">
        <v>2024</v>
      </c>
    </row>
    <row r="2" customFormat="false" ht="15" hidden="false" customHeight="false" outlineLevel="0" collapsed="false">
      <c r="A2" s="3" t="s">
        <v>33</v>
      </c>
      <c r="B2" s="3" t="n">
        <f aca="false">SUMIFS(Raw_Data!$E$2:$E$81,Raw_Data!$B$2:$B$81,$A2,Raw_Data!$A$2:$A$81,B$1)</f>
        <v>119</v>
      </c>
      <c r="C2" s="3" t="n">
        <f aca="false">SUMIFS(Raw_Data!$E$2:$E$81,Raw_Data!$B$2:$B$81,$A2,Raw_Data!$A$2:$A$81,C$1)</f>
        <v>115</v>
      </c>
      <c r="D2" s="3" t="n">
        <f aca="false">SUMIFS(Raw_Data!$E$2:$E$81,Raw_Data!$B$2:$B$81,$A2,Raw_Data!$A$2:$A$81,D$1)</f>
        <v>111</v>
      </c>
      <c r="E2" s="3" t="n">
        <f aca="false">SUMIFS(Raw_Data!$E$2:$E$81,Raw_Data!$B$2:$B$81,$A2,Raw_Data!$A$2:$A$81,E$1)</f>
        <v>113</v>
      </c>
      <c r="F2" s="3" t="n">
        <f aca="false">SUMIFS(Raw_Data!$E$2:$E$81,Raw_Data!$B$2:$B$81,$A2,Raw_Data!$A$2:$A$81,F$1)</f>
        <v>98</v>
      </c>
      <c r="G2" s="3" t="n">
        <f aca="false">SUMIFS(Raw_Data!$E$2:$E$81,Raw_Data!$B$2:$B$81,$A2,Raw_Data!$A$2:$A$81,G$1)</f>
        <v>84</v>
      </c>
      <c r="H2" s="3" t="n">
        <f aca="false">SUMIFS(Raw_Data!$E$2:$E$81,Raw_Data!$B$2:$B$81,$A2,Raw_Data!$A$2:$A$81,H$1)</f>
        <v>96</v>
      </c>
      <c r="I2" s="3" t="n">
        <f aca="false">SUMIFS(Raw_Data!$E$2:$E$81,Raw_Data!$B$2:$B$81,$A2,Raw_Data!$A$2:$A$81,I$1)</f>
        <v>100</v>
      </c>
      <c r="J2" s="3" t="n">
        <f aca="false">SUMIFS(Raw_Data!$E$2:$E$81,Raw_Data!$B$2:$B$81,$A2,Raw_Data!$A$2:$A$81,J$1)</f>
        <v>92</v>
      </c>
      <c r="K2" s="3" t="n">
        <f aca="false">SUMIFS(Raw_Data!$E$2:$E$81,Raw_Data!$B$2:$B$81,$A2,Raw_Data!$A$2:$A$81,K$1)</f>
        <v>103</v>
      </c>
    </row>
    <row r="3" customFormat="false" ht="15" hidden="false" customHeight="false" outlineLevel="0" collapsed="false">
      <c r="A3" s="3" t="s">
        <v>39</v>
      </c>
      <c r="B3" s="3" t="n">
        <f aca="false">SUMIFS(Raw_Data!$E$2:$E$81,Raw_Data!$B$2:$B$81,$A3,Raw_Data!$A$2:$A$81,B$1)</f>
        <v>105</v>
      </c>
      <c r="C3" s="3" t="n">
        <f aca="false">SUMIFS(Raw_Data!$E$2:$E$81,Raw_Data!$B$2:$B$81,$A3,Raw_Data!$A$2:$A$81,C$1)</f>
        <v>100</v>
      </c>
      <c r="D3" s="3" t="n">
        <f aca="false">SUMIFS(Raw_Data!$E$2:$E$81,Raw_Data!$B$2:$B$81,$A3,Raw_Data!$A$2:$A$81,D$1)</f>
        <v>96</v>
      </c>
      <c r="E3" s="3" t="n">
        <f aca="false">SUMIFS(Raw_Data!$E$2:$E$81,Raw_Data!$B$2:$B$81,$A3,Raw_Data!$A$2:$A$81,E$1)</f>
        <v>98</v>
      </c>
      <c r="F3" s="3" t="n">
        <f aca="false">SUMIFS(Raw_Data!$E$2:$E$81,Raw_Data!$B$2:$B$81,$A3,Raw_Data!$A$2:$A$81,F$1)</f>
        <v>92</v>
      </c>
      <c r="G3" s="3" t="n">
        <f aca="false">SUMIFS(Raw_Data!$E$2:$E$81,Raw_Data!$B$2:$B$81,$A3,Raw_Data!$A$2:$A$81,G$1)</f>
        <v>70</v>
      </c>
      <c r="H3" s="3" t="n">
        <f aca="false">SUMIFS(Raw_Data!$E$2:$E$81,Raw_Data!$B$2:$B$81,$A3,Raw_Data!$A$2:$A$81,H$1)</f>
        <v>85</v>
      </c>
      <c r="I3" s="3" t="n">
        <f aca="false">SUMIFS(Raw_Data!$E$2:$E$81,Raw_Data!$B$2:$B$81,$A3,Raw_Data!$A$2:$A$81,I$1)</f>
        <v>90</v>
      </c>
      <c r="J3" s="3" t="n">
        <f aca="false">SUMIFS(Raw_Data!$E$2:$E$81,Raw_Data!$B$2:$B$81,$A3,Raw_Data!$A$2:$A$81,J$1)</f>
        <v>88</v>
      </c>
      <c r="K3" s="3" t="n">
        <f aca="false">SUMIFS(Raw_Data!$E$2:$E$81,Raw_Data!$B$2:$B$81,$A3,Raw_Data!$A$2:$A$81,K$1)</f>
        <v>86</v>
      </c>
    </row>
    <row r="4" customFormat="false" ht="15" hidden="false" customHeight="false" outlineLevel="0" collapsed="false">
      <c r="A4" s="3" t="s">
        <v>41</v>
      </c>
      <c r="B4" s="3" t="n">
        <f aca="false">SUMIFS(Raw_Data!$E$2:$E$81,Raw_Data!$B$2:$B$81,$A4,Raw_Data!$A$2:$A$81,B$1)</f>
        <v>68</v>
      </c>
      <c r="C4" s="3" t="n">
        <f aca="false">SUMIFS(Raw_Data!$E$2:$E$81,Raw_Data!$B$2:$B$81,$A4,Raw_Data!$A$2:$A$81,C$1)</f>
        <v>65</v>
      </c>
      <c r="D4" s="3" t="n">
        <f aca="false">SUMIFS(Raw_Data!$E$2:$E$81,Raw_Data!$B$2:$B$81,$A4,Raw_Data!$A$2:$A$81,D$1)</f>
        <v>62</v>
      </c>
      <c r="E4" s="3" t="n">
        <f aca="false">SUMIFS(Raw_Data!$E$2:$E$81,Raw_Data!$B$2:$B$81,$A4,Raw_Data!$A$2:$A$81,E$1)</f>
        <v>64</v>
      </c>
      <c r="F4" s="3" t="n">
        <f aca="false">SUMIFS(Raw_Data!$E$2:$E$81,Raw_Data!$B$2:$B$81,$A4,Raw_Data!$A$2:$A$81,F$1)</f>
        <v>58</v>
      </c>
      <c r="G4" s="3" t="n">
        <f aca="false">SUMIFS(Raw_Data!$E$2:$E$81,Raw_Data!$B$2:$B$81,$A4,Raw_Data!$A$2:$A$81,G$1)</f>
        <v>44</v>
      </c>
      <c r="H4" s="3" t="n">
        <f aca="false">SUMIFS(Raw_Data!$E$2:$E$81,Raw_Data!$B$2:$B$81,$A4,Raw_Data!$A$2:$A$81,H$1)</f>
        <v>54</v>
      </c>
      <c r="I4" s="3" t="n">
        <f aca="false">SUMIFS(Raw_Data!$E$2:$E$81,Raw_Data!$B$2:$B$81,$A4,Raw_Data!$A$2:$A$81,I$1)</f>
        <v>58</v>
      </c>
      <c r="J4" s="3" t="n">
        <f aca="false">SUMIFS(Raw_Data!$E$2:$E$81,Raw_Data!$B$2:$B$81,$A4,Raw_Data!$A$2:$A$81,J$1)</f>
        <v>56</v>
      </c>
      <c r="K4" s="3" t="n">
        <f aca="false">SUMIFS(Raw_Data!$E$2:$E$81,Raw_Data!$B$2:$B$81,$A4,Raw_Data!$A$2:$A$81,K$1)</f>
        <v>53</v>
      </c>
    </row>
    <row r="5" customFormat="false" ht="15" hidden="false" customHeight="false" outlineLevel="0" collapsed="false">
      <c r="A5" s="3" t="s">
        <v>45</v>
      </c>
      <c r="B5" s="3" t="n">
        <f aca="false">SUMIFS(Raw_Data!$E$2:$E$81,Raw_Data!$B$2:$B$81,$A5,Raw_Data!$A$2:$A$81,B$1)</f>
        <v>62</v>
      </c>
      <c r="C5" s="3" t="n">
        <f aca="false">SUMIFS(Raw_Data!$E$2:$E$81,Raw_Data!$B$2:$B$81,$A5,Raw_Data!$A$2:$A$81,C$1)</f>
        <v>60</v>
      </c>
      <c r="D5" s="3" t="n">
        <f aca="false">SUMIFS(Raw_Data!$E$2:$E$81,Raw_Data!$B$2:$B$81,$A5,Raw_Data!$A$2:$A$81,D$1)</f>
        <v>58</v>
      </c>
      <c r="E5" s="3" t="n">
        <f aca="false">SUMIFS(Raw_Data!$E$2:$E$81,Raw_Data!$B$2:$B$81,$A5,Raw_Data!$A$2:$A$81,E$1)</f>
        <v>57</v>
      </c>
      <c r="F5" s="3" t="n">
        <f aca="false">SUMIFS(Raw_Data!$E$2:$E$81,Raw_Data!$B$2:$B$81,$A5,Raw_Data!$A$2:$A$81,F$1)</f>
        <v>53</v>
      </c>
      <c r="G5" s="3" t="n">
        <f aca="false">SUMIFS(Raw_Data!$E$2:$E$81,Raw_Data!$B$2:$B$81,$A5,Raw_Data!$A$2:$A$81,G$1)</f>
        <v>41</v>
      </c>
      <c r="H5" s="3" t="n">
        <f aca="false">SUMIFS(Raw_Data!$E$2:$E$81,Raw_Data!$B$2:$B$81,$A5,Raw_Data!$A$2:$A$81,H$1)</f>
        <v>49</v>
      </c>
      <c r="I5" s="3" t="n">
        <f aca="false">SUMIFS(Raw_Data!$E$2:$E$81,Raw_Data!$B$2:$B$81,$A5,Raw_Data!$A$2:$A$81,I$1)</f>
        <v>52</v>
      </c>
      <c r="J5" s="3" t="n">
        <f aca="false">SUMIFS(Raw_Data!$E$2:$E$81,Raw_Data!$B$2:$B$81,$A5,Raw_Data!$A$2:$A$81,J$1)</f>
        <v>51</v>
      </c>
      <c r="K5" s="3" t="n">
        <f aca="false">SUMIFS(Raw_Data!$E$2:$E$81,Raw_Data!$B$2:$B$81,$A5,Raw_Data!$A$2:$A$81,K$1)</f>
        <v>49</v>
      </c>
    </row>
    <row r="6" customFormat="false" ht="15" hidden="false" customHeight="false" outlineLevel="0" collapsed="false">
      <c r="A6" s="3" t="s">
        <v>48</v>
      </c>
      <c r="B6" s="3" t="n">
        <f aca="false">SUMIFS(Raw_Data!$E$2:$E$81,Raw_Data!$B$2:$B$81,$A6,Raw_Data!$A$2:$A$81,B$1)</f>
        <v>50</v>
      </c>
      <c r="C6" s="3" t="n">
        <f aca="false">SUMIFS(Raw_Data!$E$2:$E$81,Raw_Data!$B$2:$B$81,$A6,Raw_Data!$A$2:$A$81,C$1)</f>
        <v>48</v>
      </c>
      <c r="D6" s="3" t="n">
        <f aca="false">SUMIFS(Raw_Data!$E$2:$E$81,Raw_Data!$B$2:$B$81,$A6,Raw_Data!$A$2:$A$81,D$1)</f>
        <v>46</v>
      </c>
      <c r="E6" s="3" t="n">
        <f aca="false">SUMIFS(Raw_Data!$E$2:$E$81,Raw_Data!$B$2:$B$81,$A6,Raw_Data!$A$2:$A$81,E$1)</f>
        <v>47</v>
      </c>
      <c r="F6" s="3" t="n">
        <f aca="false">SUMIFS(Raw_Data!$E$2:$E$81,Raw_Data!$B$2:$B$81,$A6,Raw_Data!$A$2:$A$81,F$1)</f>
        <v>44</v>
      </c>
      <c r="G6" s="3" t="n">
        <f aca="false">SUMIFS(Raw_Data!$E$2:$E$81,Raw_Data!$B$2:$B$81,$A6,Raw_Data!$A$2:$A$81,G$1)</f>
        <v>33</v>
      </c>
      <c r="H6" s="3" t="n">
        <f aca="false">SUMIFS(Raw_Data!$E$2:$E$81,Raw_Data!$B$2:$B$81,$A6,Raw_Data!$A$2:$A$81,H$1)</f>
        <v>41</v>
      </c>
      <c r="I6" s="3" t="n">
        <f aca="false">SUMIFS(Raw_Data!$E$2:$E$81,Raw_Data!$B$2:$B$81,$A6,Raw_Data!$A$2:$A$81,I$1)</f>
        <v>44</v>
      </c>
      <c r="J6" s="3" t="n">
        <f aca="false">SUMIFS(Raw_Data!$E$2:$E$81,Raw_Data!$B$2:$B$81,$A6,Raw_Data!$A$2:$A$81,J$1)</f>
        <v>44</v>
      </c>
      <c r="K6" s="3" t="n">
        <f aca="false">SUMIFS(Raw_Data!$E$2:$E$81,Raw_Data!$B$2:$B$81,$A6,Raw_Data!$A$2:$A$81,K$1)</f>
        <v>41</v>
      </c>
    </row>
    <row r="7" customFormat="false" ht="15" hidden="false" customHeight="false" outlineLevel="0" collapsed="false">
      <c r="A7" s="3" t="s">
        <v>50</v>
      </c>
      <c r="B7" s="3" t="n">
        <f aca="false">SUMIFS(Raw_Data!$E$2:$E$81,Raw_Data!$B$2:$B$81,$A7,Raw_Data!$A$2:$A$81,B$1)</f>
        <v>45</v>
      </c>
      <c r="C7" s="3" t="n">
        <f aca="false">SUMIFS(Raw_Data!$E$2:$E$81,Raw_Data!$B$2:$B$81,$A7,Raw_Data!$A$2:$A$81,C$1)</f>
        <v>43</v>
      </c>
      <c r="D7" s="3" t="n">
        <f aca="false">SUMIFS(Raw_Data!$E$2:$E$81,Raw_Data!$B$2:$B$81,$A7,Raw_Data!$A$2:$A$81,D$1)</f>
        <v>41</v>
      </c>
      <c r="E7" s="3" t="n">
        <f aca="false">SUMIFS(Raw_Data!$E$2:$E$81,Raw_Data!$B$2:$B$81,$A7,Raw_Data!$A$2:$A$81,E$1)</f>
        <v>42</v>
      </c>
      <c r="F7" s="3" t="n">
        <f aca="false">SUMIFS(Raw_Data!$E$2:$E$81,Raw_Data!$B$2:$B$81,$A7,Raw_Data!$A$2:$A$81,F$1)</f>
        <v>38</v>
      </c>
      <c r="G7" s="3" t="n">
        <f aca="false">SUMIFS(Raw_Data!$E$2:$E$81,Raw_Data!$B$2:$B$81,$A7,Raw_Data!$A$2:$A$81,G$1)</f>
        <v>29</v>
      </c>
      <c r="H7" s="3" t="n">
        <f aca="false">SUMIFS(Raw_Data!$E$2:$E$81,Raw_Data!$B$2:$B$81,$A7,Raw_Data!$A$2:$A$81,H$1)</f>
        <v>35</v>
      </c>
      <c r="I7" s="3" t="n">
        <f aca="false">SUMIFS(Raw_Data!$E$2:$E$81,Raw_Data!$B$2:$B$81,$A7,Raw_Data!$A$2:$A$81,I$1)</f>
        <v>38</v>
      </c>
      <c r="J7" s="3" t="n">
        <f aca="false">SUMIFS(Raw_Data!$E$2:$E$81,Raw_Data!$B$2:$B$81,$A7,Raw_Data!$A$2:$A$81,J$1)</f>
        <v>37</v>
      </c>
      <c r="K7" s="3" t="n">
        <f aca="false">SUMIFS(Raw_Data!$E$2:$E$81,Raw_Data!$B$2:$B$81,$A7,Raw_Data!$A$2:$A$81,K$1)</f>
        <v>35</v>
      </c>
    </row>
    <row r="8" customFormat="false" ht="15" hidden="false" customHeight="false" outlineLevel="0" collapsed="false">
      <c r="A8" s="3" t="s">
        <v>54</v>
      </c>
      <c r="B8" s="3" t="n">
        <f aca="false">SUMIFS(Raw_Data!$E$2:$E$81,Raw_Data!$B$2:$B$81,$A8,Raw_Data!$A$2:$A$81,B$1)</f>
        <v>38</v>
      </c>
      <c r="C8" s="3" t="n">
        <f aca="false">SUMIFS(Raw_Data!$E$2:$E$81,Raw_Data!$B$2:$B$81,$A8,Raw_Data!$A$2:$A$81,C$1)</f>
        <v>36</v>
      </c>
      <c r="D8" s="3" t="n">
        <f aca="false">SUMIFS(Raw_Data!$E$2:$E$81,Raw_Data!$B$2:$B$81,$A8,Raw_Data!$A$2:$A$81,D$1)</f>
        <v>34</v>
      </c>
      <c r="E8" s="3" t="n">
        <f aca="false">SUMIFS(Raw_Data!$E$2:$E$81,Raw_Data!$B$2:$B$81,$A8,Raw_Data!$A$2:$A$81,E$1)</f>
        <v>33</v>
      </c>
      <c r="F8" s="3" t="n">
        <f aca="false">SUMIFS(Raw_Data!$E$2:$E$81,Raw_Data!$B$2:$B$81,$A8,Raw_Data!$A$2:$A$81,F$1)</f>
        <v>31</v>
      </c>
      <c r="G8" s="3" t="n">
        <f aca="false">SUMIFS(Raw_Data!$E$2:$E$81,Raw_Data!$B$2:$B$81,$A8,Raw_Data!$A$2:$A$81,G$1)</f>
        <v>24</v>
      </c>
      <c r="H8" s="3" t="n">
        <f aca="false">SUMIFS(Raw_Data!$E$2:$E$81,Raw_Data!$B$2:$B$81,$A8,Raw_Data!$A$2:$A$81,H$1)</f>
        <v>29</v>
      </c>
      <c r="I8" s="3" t="n">
        <f aca="false">SUMIFS(Raw_Data!$E$2:$E$81,Raw_Data!$B$2:$B$81,$A8,Raw_Data!$A$2:$A$81,I$1)</f>
        <v>31</v>
      </c>
      <c r="J8" s="3" t="n">
        <f aca="false">SUMIFS(Raw_Data!$E$2:$E$81,Raw_Data!$B$2:$B$81,$A8,Raw_Data!$A$2:$A$81,J$1)</f>
        <v>30</v>
      </c>
      <c r="K8" s="3" t="n">
        <f aca="false">SUMIFS(Raw_Data!$E$2:$E$81,Raw_Data!$B$2:$B$81,$A8,Raw_Data!$A$2:$A$81,K$1)</f>
        <v>29</v>
      </c>
    </row>
    <row r="9" customFormat="false" ht="15" hidden="false" customHeight="false" outlineLevel="0" collapsed="false">
      <c r="A9" s="3" t="s">
        <v>56</v>
      </c>
      <c r="B9" s="3" t="n">
        <f aca="false">SUMIFS(Raw_Data!$E$2:$E$81,Raw_Data!$B$2:$B$81,$A9,Raw_Data!$A$2:$A$81,B$1)</f>
        <v>33</v>
      </c>
      <c r="C9" s="3" t="n">
        <f aca="false">SUMIFS(Raw_Data!$E$2:$E$81,Raw_Data!$B$2:$B$81,$A9,Raw_Data!$A$2:$A$81,C$1)</f>
        <v>32</v>
      </c>
      <c r="D9" s="3" t="n">
        <f aca="false">SUMIFS(Raw_Data!$E$2:$E$81,Raw_Data!$B$2:$B$81,$A9,Raw_Data!$A$2:$A$81,D$1)</f>
        <v>31</v>
      </c>
      <c r="E9" s="3" t="n">
        <f aca="false">SUMIFS(Raw_Data!$E$2:$E$81,Raw_Data!$B$2:$B$81,$A9,Raw_Data!$A$2:$A$81,E$1)</f>
        <v>32</v>
      </c>
      <c r="F9" s="3" t="n">
        <f aca="false">SUMIFS(Raw_Data!$E$2:$E$81,Raw_Data!$B$2:$B$81,$A9,Raw_Data!$A$2:$A$81,F$1)</f>
        <v>29</v>
      </c>
      <c r="G9" s="3" t="n">
        <f aca="false">SUMIFS(Raw_Data!$E$2:$E$81,Raw_Data!$B$2:$B$81,$A9,Raw_Data!$A$2:$A$81,G$1)</f>
        <v>22</v>
      </c>
      <c r="H9" s="3" t="n">
        <f aca="false">SUMIFS(Raw_Data!$E$2:$E$81,Raw_Data!$B$2:$B$81,$A9,Raw_Data!$A$2:$A$81,H$1)</f>
        <v>27</v>
      </c>
      <c r="I9" s="3" t="n">
        <f aca="false">SUMIFS(Raw_Data!$E$2:$E$81,Raw_Data!$B$2:$B$81,$A9,Raw_Data!$A$2:$A$81,I$1)</f>
        <v>29</v>
      </c>
      <c r="J9" s="3" t="n">
        <f aca="false">SUMIFS(Raw_Data!$E$2:$E$81,Raw_Data!$B$2:$B$81,$A9,Raw_Data!$A$2:$A$81,J$1)</f>
        <v>28</v>
      </c>
      <c r="K9" s="3" t="n">
        <f aca="false">SUMIFS(Raw_Data!$E$2:$E$81,Raw_Data!$B$2:$B$81,$A9,Raw_Data!$A$2:$A$81,K$1)</f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0" t="s">
        <v>72</v>
      </c>
      <c r="B1" s="10" t="s">
        <v>73</v>
      </c>
    </row>
    <row r="2" customFormat="false" ht="15" hidden="false" customHeight="false" outlineLevel="0" collapsed="false">
      <c r="A2" s="3" t="s">
        <v>53</v>
      </c>
      <c r="B2" s="3" t="n">
        <f aca="false">COUNTIF(Raw_Data!$H$2:$H$81,$A2)</f>
        <v>11</v>
      </c>
    </row>
    <row r="3" customFormat="false" ht="15" hidden="false" customHeight="false" outlineLevel="0" collapsed="false">
      <c r="A3" s="3" t="s">
        <v>44</v>
      </c>
      <c r="B3" s="3" t="n">
        <f aca="false">COUNTIF(Raw_Data!$H$2:$H$81,$A3)</f>
        <v>44</v>
      </c>
    </row>
    <row r="4" customFormat="false" ht="15" hidden="false" customHeight="false" outlineLevel="0" collapsed="false">
      <c r="A4" s="3" t="s">
        <v>38</v>
      </c>
      <c r="B4" s="3" t="n">
        <f aca="false">COUNTIF(Raw_Data!$H$2:$H$81,$A4)</f>
        <v>11</v>
      </c>
    </row>
    <row r="5" customFormat="false" ht="15" hidden="false" customHeight="false" outlineLevel="0" collapsed="false">
      <c r="A5" s="3" t="s">
        <v>35</v>
      </c>
      <c r="B5" s="3" t="n">
        <f aca="false">COUNTIF(Raw_Data!$H$2:$H$81,$A5)</f>
        <v>14</v>
      </c>
    </row>
    <row r="6" customFormat="false" ht="15" hidden="false" customHeight="false" outlineLevel="0" collapsed="false">
      <c r="A6" s="3" t="s">
        <v>66</v>
      </c>
      <c r="B6" s="3" t="n">
        <f aca="false">COUNTIF(Raw_Data!$H$2:$H$81,$A6)</f>
        <v>0</v>
      </c>
    </row>
    <row r="7" customFormat="false" ht="15" hidden="false" customHeight="false" outlineLevel="0" collapsed="false">
      <c r="A7" s="3" t="s">
        <v>67</v>
      </c>
      <c r="B7" s="3" t="n">
        <f aca="false">COUNTIF(Raw_Data!$H$2:$H$81,$A7)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2"/>
    <col collapsed="false" customWidth="true" hidden="false" outlineLevel="0" max="3" min="3" style="0" width="4"/>
    <col collapsed="false" customWidth="true" hidden="false" outlineLevel="0" max="4" min="4" style="0" width="16"/>
  </cols>
  <sheetData>
    <row r="2" customFormat="false" ht="19.7" hidden="false" customHeight="false" outlineLevel="0" collapsed="false">
      <c r="B2" s="1" t="s">
        <v>74</v>
      </c>
    </row>
    <row r="3" customFormat="false" ht="15" hidden="false" customHeight="false" outlineLevel="0" collapsed="false">
      <c r="B3" s="2" t="s">
        <v>75</v>
      </c>
    </row>
    <row r="5" customFormat="false" ht="15" hidden="false" customHeight="false" outlineLevel="0" collapsed="false">
      <c r="B5" s="11" t="s">
        <v>76</v>
      </c>
      <c r="D5" s="12" t="n">
        <f aca="false">INDEX(Year_Trend!B2:B11,MATCH(2024,Year_Trend!A2:A11,0))</f>
        <v>52.9</v>
      </c>
    </row>
    <row r="6" customFormat="false" ht="15" hidden="false" customHeight="false" outlineLevel="0" collapsed="false">
      <c r="B6" s="11" t="s">
        <v>77</v>
      </c>
      <c r="D6" s="12" t="n">
        <f aca="false">INDEX(Year_Trend!B2:B11,MATCH(2015,Year_Trend!A2:A11,0))</f>
        <v>65</v>
      </c>
    </row>
    <row r="7" customFormat="false" ht="15" hidden="false" customHeight="false" outlineLevel="0" collapsed="false">
      <c r="B7" s="11" t="s">
        <v>78</v>
      </c>
      <c r="D7" s="13" t="n">
        <f aca="false">ROUND((D6-D5)/D5,3)</f>
        <v>0.229</v>
      </c>
    </row>
    <row r="8" customFormat="false" ht="15" hidden="false" customHeight="false" outlineLevel="0" collapsed="false">
      <c r="B8" s="11" t="s">
        <v>79</v>
      </c>
      <c r="D8" s="12" t="str">
        <f aca="false">INDEX(City_Summary!A2:A9,MATCH(MAX(City_Summary!D2:D9),City_Summary!D2:D9,0))</f>
        <v>Delhi</v>
      </c>
    </row>
    <row r="9" customFormat="false" ht="15" hidden="false" customHeight="false" outlineLevel="0" collapsed="false">
      <c r="B9" s="11" t="s">
        <v>80</v>
      </c>
      <c r="D9" s="12" t="str">
        <f aca="false">INDEX(City_Summary!A2:A9,MATCH(MIN(City_Summary!D2:D9),City_Summary!D2:D9,0))</f>
        <v>Chennai</v>
      </c>
    </row>
    <row r="11" customFormat="false" ht="15" hidden="false" customHeight="false" outlineLevel="0" collapsed="false">
      <c r="B11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1"/>
    <col collapsed="false" customWidth="true" hidden="false" outlineLevel="0" max="4" min="4" style="0" width="20"/>
    <col collapsed="false" customWidth="true" hidden="false" outlineLevel="0" max="5" min="5" style="0" width="19"/>
    <col collapsed="false" customWidth="true" hidden="false" outlineLevel="0" max="7" min="6" style="0" width="16"/>
    <col collapsed="false" customWidth="true" hidden="false" outlineLevel="0" max="8" min="8" style="0" width="27"/>
    <col collapsed="false" customWidth="true" hidden="false" outlineLevel="0" max="9" min="9" style="0" width="34"/>
  </cols>
  <sheetData>
    <row r="1" customFormat="false" ht="26.85" hidden="false" customHeight="false" outlineLevel="0" collapsed="false">
      <c r="A1" s="6" t="s">
        <v>26</v>
      </c>
      <c r="B1" s="6" t="s">
        <v>27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31</v>
      </c>
      <c r="H1" s="6" t="s">
        <v>86</v>
      </c>
      <c r="I1" s="6" t="s">
        <v>87</v>
      </c>
    </row>
    <row r="2" customFormat="false" ht="15" hidden="false" customHeight="false" outlineLevel="0" collapsed="false">
      <c r="A2" s="5" t="s">
        <v>33</v>
      </c>
      <c r="B2" s="5" t="s">
        <v>34</v>
      </c>
      <c r="C2" s="5" t="s">
        <v>33</v>
      </c>
      <c r="D2" s="5" t="n">
        <v>103</v>
      </c>
      <c r="E2" s="5" t="n">
        <v>221.4</v>
      </c>
      <c r="F2" s="5" t="n">
        <v>242</v>
      </c>
      <c r="G2" s="5" t="s">
        <v>35</v>
      </c>
      <c r="H2" s="5" t="s">
        <v>88</v>
      </c>
      <c r="I2" s="5" t="n">
        <v>6</v>
      </c>
    </row>
    <row r="3" customFormat="false" ht="15" hidden="false" customHeight="false" outlineLevel="0" collapsed="false">
      <c r="A3" s="5" t="s">
        <v>89</v>
      </c>
      <c r="B3" s="5" t="s">
        <v>34</v>
      </c>
      <c r="C3" s="5" t="s">
        <v>90</v>
      </c>
      <c r="D3" s="5" t="n">
        <v>95</v>
      </c>
      <c r="E3" s="5" t="n">
        <v>204.2</v>
      </c>
      <c r="F3" s="5" t="n">
        <v>215</v>
      </c>
      <c r="G3" s="5" t="s">
        <v>35</v>
      </c>
      <c r="H3" s="5" t="s">
        <v>88</v>
      </c>
      <c r="I3" s="5" t="n">
        <v>9</v>
      </c>
    </row>
    <row r="4" customFormat="false" ht="15" hidden="false" customHeight="false" outlineLevel="0" collapsed="false">
      <c r="A4" s="5" t="s">
        <v>91</v>
      </c>
      <c r="B4" s="5" t="s">
        <v>34</v>
      </c>
      <c r="C4" s="5" t="s">
        <v>92</v>
      </c>
      <c r="D4" s="5" t="n">
        <v>90</v>
      </c>
      <c r="E4" s="5" t="n">
        <v>193.5</v>
      </c>
      <c r="F4" s="5" t="n">
        <v>200</v>
      </c>
      <c r="G4" s="5" t="s">
        <v>38</v>
      </c>
      <c r="H4" s="5" t="s">
        <v>88</v>
      </c>
      <c r="I4" s="5" t="n">
        <v>3</v>
      </c>
    </row>
    <row r="5" customFormat="false" ht="15" hidden="false" customHeight="false" outlineLevel="0" collapsed="false">
      <c r="A5" s="5" t="s">
        <v>40</v>
      </c>
      <c r="B5" s="5" t="s">
        <v>34</v>
      </c>
      <c r="C5" s="5" t="s">
        <v>39</v>
      </c>
      <c r="D5" s="5" t="n">
        <v>86</v>
      </c>
      <c r="E5" s="5" t="n">
        <v>184.9</v>
      </c>
      <c r="F5" s="5" t="n">
        <v>186</v>
      </c>
      <c r="G5" s="5" t="s">
        <v>38</v>
      </c>
      <c r="H5" s="5" t="s">
        <v>88</v>
      </c>
      <c r="I5" s="5" t="n">
        <v>17</v>
      </c>
    </row>
    <row r="6" customFormat="false" ht="15" hidden="false" customHeight="false" outlineLevel="0" collapsed="false">
      <c r="A6" s="5" t="s">
        <v>93</v>
      </c>
      <c r="B6" s="5" t="s">
        <v>34</v>
      </c>
      <c r="C6" s="5" t="s">
        <v>94</v>
      </c>
      <c r="D6" s="5" t="n">
        <v>75</v>
      </c>
      <c r="E6" s="5" t="n">
        <v>161.2</v>
      </c>
      <c r="F6" s="5" t="n">
        <v>149</v>
      </c>
      <c r="G6" s="5" t="s">
        <v>38</v>
      </c>
      <c r="H6" s="5" t="s">
        <v>88</v>
      </c>
      <c r="I6" s="5" t="n">
        <v>8</v>
      </c>
    </row>
    <row r="7" customFormat="false" ht="15" hidden="false" customHeight="false" outlineLevel="0" collapsed="false">
      <c r="A7" s="5" t="s">
        <v>95</v>
      </c>
      <c r="B7" s="5" t="s">
        <v>34</v>
      </c>
      <c r="C7" s="5" t="s">
        <v>95</v>
      </c>
      <c r="D7" s="5" t="n">
        <v>70</v>
      </c>
      <c r="E7" s="5" t="n">
        <v>150.5</v>
      </c>
      <c r="F7" s="5" t="n">
        <v>132</v>
      </c>
      <c r="G7" s="5" t="s">
        <v>38</v>
      </c>
      <c r="H7" s="5" t="s">
        <v>88</v>
      </c>
      <c r="I7" s="5" t="n">
        <v>1</v>
      </c>
    </row>
    <row r="8" customFormat="false" ht="15" hidden="false" customHeight="false" outlineLevel="0" collapsed="false">
      <c r="A8" s="5" t="s">
        <v>96</v>
      </c>
      <c r="B8" s="5" t="s">
        <v>34</v>
      </c>
      <c r="C8" s="5" t="s">
        <v>97</v>
      </c>
      <c r="D8" s="5" t="n">
        <v>68</v>
      </c>
      <c r="E8" s="5" t="n">
        <v>146.2</v>
      </c>
      <c r="F8" s="5" t="n">
        <v>125</v>
      </c>
      <c r="G8" s="5" t="s">
        <v>38</v>
      </c>
      <c r="H8" s="5" t="s">
        <v>88</v>
      </c>
      <c r="I8" s="5" t="n">
        <v>8</v>
      </c>
    </row>
    <row r="9" customFormat="false" ht="15" hidden="false" customHeight="false" outlineLevel="0" collapsed="false">
      <c r="A9" s="5" t="s">
        <v>98</v>
      </c>
      <c r="B9" s="5" t="s">
        <v>99</v>
      </c>
      <c r="C9" s="5" t="s">
        <v>100</v>
      </c>
      <c r="D9" s="5" t="n">
        <v>60</v>
      </c>
      <c r="E9" s="5" t="n">
        <v>120</v>
      </c>
      <c r="F9" s="5" t="n">
        <v>100</v>
      </c>
      <c r="G9" s="5" t="s">
        <v>44</v>
      </c>
      <c r="H9" s="5" t="s">
        <v>88</v>
      </c>
      <c r="I9" s="5" t="n">
        <v>2</v>
      </c>
    </row>
    <row r="10" customFormat="false" ht="15" hidden="false" customHeight="false" outlineLevel="0" collapsed="false">
      <c r="A10" s="5" t="s">
        <v>101</v>
      </c>
      <c r="B10" s="5" t="s">
        <v>43</v>
      </c>
      <c r="C10" s="5" t="s">
        <v>102</v>
      </c>
      <c r="D10" s="5" t="n">
        <v>58</v>
      </c>
      <c r="E10" s="5" t="n">
        <v>113.1</v>
      </c>
      <c r="F10" s="5" t="n">
        <v>97</v>
      </c>
      <c r="G10" s="5" t="s">
        <v>44</v>
      </c>
      <c r="H10" s="5" t="s">
        <v>88</v>
      </c>
      <c r="I10" s="5" t="n">
        <v>3</v>
      </c>
    </row>
    <row r="11" customFormat="false" ht="15" hidden="false" customHeight="false" outlineLevel="0" collapsed="false">
      <c r="A11" s="5" t="s">
        <v>103</v>
      </c>
      <c r="B11" s="5" t="s">
        <v>99</v>
      </c>
      <c r="C11" s="5" t="s">
        <v>104</v>
      </c>
      <c r="D11" s="5" t="n">
        <v>55</v>
      </c>
      <c r="E11" s="5" t="n">
        <v>110</v>
      </c>
      <c r="F11" s="5" t="n">
        <v>92</v>
      </c>
      <c r="G11" s="5" t="s">
        <v>44</v>
      </c>
      <c r="H11" s="5" t="s">
        <v>88</v>
      </c>
      <c r="I11" s="5" t="n">
        <v>6</v>
      </c>
    </row>
    <row r="12" customFormat="false" ht="15" hidden="false" customHeight="false" outlineLevel="0" collapsed="false">
      <c r="A12" s="5" t="s">
        <v>105</v>
      </c>
      <c r="B12" s="5" t="s">
        <v>34</v>
      </c>
      <c r="C12" s="5" t="s">
        <v>106</v>
      </c>
      <c r="D12" s="5" t="n">
        <v>55</v>
      </c>
      <c r="E12" s="5" t="n">
        <v>118.2</v>
      </c>
      <c r="F12" s="5" t="n">
        <v>92</v>
      </c>
      <c r="G12" s="5" t="s">
        <v>44</v>
      </c>
      <c r="H12" s="5" t="s">
        <v>88</v>
      </c>
      <c r="I12" s="5" t="n">
        <v>2</v>
      </c>
    </row>
    <row r="13" customFormat="false" ht="15" hidden="false" customHeight="false" outlineLevel="0" collapsed="false">
      <c r="A13" s="5" t="s">
        <v>107</v>
      </c>
      <c r="B13" s="5" t="s">
        <v>108</v>
      </c>
      <c r="C13" s="5" t="s">
        <v>109</v>
      </c>
      <c r="D13" s="5" t="n">
        <v>55</v>
      </c>
      <c r="E13" s="5" t="n">
        <v>93.5</v>
      </c>
      <c r="F13" s="5" t="n">
        <v>92</v>
      </c>
      <c r="G13" s="5" t="s">
        <v>44</v>
      </c>
      <c r="H13" s="5" t="s">
        <v>88</v>
      </c>
      <c r="I13" s="5" t="n">
        <v>1</v>
      </c>
    </row>
    <row r="14" customFormat="false" ht="15" hidden="false" customHeight="false" outlineLevel="0" collapsed="false">
      <c r="A14" s="5" t="s">
        <v>42</v>
      </c>
      <c r="B14" s="5" t="s">
        <v>43</v>
      </c>
      <c r="C14" s="5" t="s">
        <v>41</v>
      </c>
      <c r="D14" s="5" t="n">
        <v>53</v>
      </c>
      <c r="E14" s="5" t="n">
        <v>103.3</v>
      </c>
      <c r="F14" s="5" t="n">
        <v>88</v>
      </c>
      <c r="G14" s="5" t="s">
        <v>44</v>
      </c>
      <c r="H14" s="5" t="s">
        <v>88</v>
      </c>
      <c r="I14" s="5" t="n">
        <v>5</v>
      </c>
    </row>
    <row r="15" customFormat="false" ht="15" hidden="false" customHeight="false" outlineLevel="0" collapsed="false">
      <c r="A15" s="5" t="s">
        <v>110</v>
      </c>
      <c r="B15" s="5" t="s">
        <v>43</v>
      </c>
      <c r="C15" s="5" t="s">
        <v>111</v>
      </c>
      <c r="D15" s="5" t="n">
        <v>50</v>
      </c>
      <c r="E15" s="5" t="n">
        <v>97.5</v>
      </c>
      <c r="F15" s="5" t="n">
        <v>83</v>
      </c>
      <c r="G15" s="5" t="s">
        <v>44</v>
      </c>
      <c r="H15" s="5" t="s">
        <v>88</v>
      </c>
      <c r="I15" s="5" t="n">
        <v>6</v>
      </c>
    </row>
    <row r="16" customFormat="false" ht="15" hidden="false" customHeight="false" outlineLevel="0" collapsed="false">
      <c r="A16" s="5" t="s">
        <v>46</v>
      </c>
      <c r="B16" s="5" t="s">
        <v>47</v>
      </c>
      <c r="C16" s="5" t="s">
        <v>45</v>
      </c>
      <c r="D16" s="5" t="n">
        <v>49</v>
      </c>
      <c r="E16" s="5" t="n">
        <v>100.4</v>
      </c>
      <c r="F16" s="5" t="n">
        <v>81</v>
      </c>
      <c r="G16" s="5" t="s">
        <v>44</v>
      </c>
      <c r="H16" s="5" t="s">
        <v>88</v>
      </c>
      <c r="I16" s="5" t="n">
        <v>4</v>
      </c>
    </row>
    <row r="17" customFormat="false" ht="15" hidden="false" customHeight="false" outlineLevel="0" collapsed="false">
      <c r="A17" s="5" t="s">
        <v>112</v>
      </c>
      <c r="B17" s="5" t="s">
        <v>108</v>
      </c>
      <c r="C17" s="5" t="s">
        <v>113</v>
      </c>
      <c r="D17" s="5" t="n">
        <v>48</v>
      </c>
      <c r="E17" s="5" t="n">
        <v>81.6</v>
      </c>
      <c r="F17" s="5" t="n">
        <v>80</v>
      </c>
      <c r="G17" s="5" t="s">
        <v>44</v>
      </c>
      <c r="H17" s="5" t="s">
        <v>88</v>
      </c>
      <c r="I17" s="5" t="n">
        <v>2</v>
      </c>
    </row>
    <row r="18" customFormat="false" ht="15" hidden="false" customHeight="false" outlineLevel="0" collapsed="false">
      <c r="A18" s="5" t="s">
        <v>114</v>
      </c>
      <c r="B18" s="5" t="s">
        <v>34</v>
      </c>
      <c r="C18" s="5" t="s">
        <v>115</v>
      </c>
      <c r="D18" s="5" t="n">
        <v>45</v>
      </c>
      <c r="E18" s="5" t="n">
        <v>96.8</v>
      </c>
      <c r="F18" s="5" t="n">
        <v>75</v>
      </c>
      <c r="G18" s="5" t="s">
        <v>44</v>
      </c>
      <c r="H18" s="5" t="s">
        <v>88</v>
      </c>
      <c r="I18" s="5" t="n">
        <v>2</v>
      </c>
    </row>
    <row r="19" customFormat="false" ht="15" hidden="false" customHeight="false" outlineLevel="0" collapsed="false">
      <c r="A19" s="5" t="s">
        <v>49</v>
      </c>
      <c r="B19" s="5" t="s">
        <v>47</v>
      </c>
      <c r="C19" s="5" t="s">
        <v>48</v>
      </c>
      <c r="D19" s="5" t="n">
        <v>41</v>
      </c>
      <c r="E19" s="5" t="n">
        <v>84</v>
      </c>
      <c r="F19" s="5" t="n">
        <v>68</v>
      </c>
      <c r="G19" s="5" t="s">
        <v>44</v>
      </c>
      <c r="H19" s="5" t="s">
        <v>88</v>
      </c>
      <c r="I19" s="5" t="n">
        <v>19</v>
      </c>
    </row>
    <row r="20" customFormat="false" ht="15" hidden="false" customHeight="false" outlineLevel="0" collapsed="false">
      <c r="A20" s="5" t="s">
        <v>116</v>
      </c>
      <c r="B20" s="5" t="s">
        <v>47</v>
      </c>
      <c r="C20" s="5" t="s">
        <v>117</v>
      </c>
      <c r="D20" s="5" t="n">
        <v>40</v>
      </c>
      <c r="E20" s="5" t="n">
        <v>82</v>
      </c>
      <c r="F20" s="5" t="n">
        <v>66</v>
      </c>
      <c r="G20" s="5" t="s">
        <v>44</v>
      </c>
      <c r="H20" s="5" t="s">
        <v>118</v>
      </c>
      <c r="I20" s="5" t="n">
        <v>0</v>
      </c>
    </row>
    <row r="21" customFormat="false" ht="15" hidden="false" customHeight="false" outlineLevel="0" collapsed="false">
      <c r="A21" s="5" t="s">
        <v>119</v>
      </c>
      <c r="B21" s="5" t="s">
        <v>52</v>
      </c>
      <c r="C21" s="5" t="s">
        <v>120</v>
      </c>
      <c r="D21" s="5" t="n">
        <v>40</v>
      </c>
      <c r="E21" s="5" t="n">
        <v>74</v>
      </c>
      <c r="F21" s="5" t="n">
        <v>66</v>
      </c>
      <c r="G21" s="5" t="s">
        <v>44</v>
      </c>
      <c r="H21" s="5" t="s">
        <v>88</v>
      </c>
      <c r="I21" s="5" t="n">
        <v>3</v>
      </c>
    </row>
    <row r="22" customFormat="false" ht="15" hidden="false" customHeight="false" outlineLevel="0" collapsed="false">
      <c r="A22" s="5" t="s">
        <v>121</v>
      </c>
      <c r="B22" s="5" t="s">
        <v>34</v>
      </c>
      <c r="C22" s="5" t="s">
        <v>122</v>
      </c>
      <c r="D22" s="5" t="n">
        <v>35</v>
      </c>
      <c r="E22" s="5" t="n">
        <v>75.2</v>
      </c>
      <c r="F22" s="5" t="n">
        <v>58</v>
      </c>
      <c r="G22" s="5" t="s">
        <v>44</v>
      </c>
      <c r="H22" s="5" t="s">
        <v>118</v>
      </c>
      <c r="I22" s="5" t="n">
        <v>0</v>
      </c>
    </row>
    <row r="23" customFormat="false" ht="15" hidden="false" customHeight="false" outlineLevel="0" collapsed="false">
      <c r="A23" s="5" t="s">
        <v>51</v>
      </c>
      <c r="B23" s="5" t="s">
        <v>52</v>
      </c>
      <c r="C23" s="5" t="s">
        <v>50</v>
      </c>
      <c r="D23" s="5" t="n">
        <v>35</v>
      </c>
      <c r="E23" s="5" t="n">
        <v>64.8</v>
      </c>
      <c r="F23" s="5" t="n">
        <v>58</v>
      </c>
      <c r="G23" s="5" t="s">
        <v>44</v>
      </c>
      <c r="H23" s="5" t="s">
        <v>88</v>
      </c>
      <c r="I23" s="5" t="n">
        <v>2</v>
      </c>
    </row>
    <row r="24" customFormat="false" ht="15" hidden="false" customHeight="false" outlineLevel="0" collapsed="false">
      <c r="A24" s="5" t="s">
        <v>55</v>
      </c>
      <c r="B24" s="5" t="s">
        <v>52</v>
      </c>
      <c r="C24" s="5" t="s">
        <v>54</v>
      </c>
      <c r="D24" s="5" t="n">
        <v>29</v>
      </c>
      <c r="E24" s="5" t="n">
        <v>53.7</v>
      </c>
      <c r="F24" s="5" t="n">
        <v>48</v>
      </c>
      <c r="G24" s="5" t="s">
        <v>53</v>
      </c>
      <c r="H24" s="5" t="s">
        <v>88</v>
      </c>
      <c r="I24" s="5" t="n">
        <v>4</v>
      </c>
    </row>
    <row r="25" customFormat="false" ht="15" hidden="false" customHeight="false" outlineLevel="0" collapsed="false">
      <c r="A25" s="5" t="s">
        <v>123</v>
      </c>
      <c r="B25" s="5" t="s">
        <v>108</v>
      </c>
      <c r="C25" s="5" t="s">
        <v>124</v>
      </c>
      <c r="D25" s="5" t="n">
        <v>28</v>
      </c>
      <c r="E25" s="5" t="n">
        <v>47.6</v>
      </c>
      <c r="F25" s="5" t="n">
        <v>47</v>
      </c>
      <c r="G25" s="5" t="s">
        <v>53</v>
      </c>
      <c r="H25" s="5" t="s">
        <v>118</v>
      </c>
      <c r="I25" s="5" t="n">
        <v>0</v>
      </c>
    </row>
    <row r="26" customFormat="false" ht="15" hidden="false" customHeight="false" outlineLevel="0" collapsed="false">
      <c r="A26" s="5" t="s">
        <v>57</v>
      </c>
      <c r="B26" s="5" t="s">
        <v>52</v>
      </c>
      <c r="C26" s="5" t="s">
        <v>56</v>
      </c>
      <c r="D26" s="5" t="n">
        <v>27</v>
      </c>
      <c r="E26" s="5" t="n">
        <v>50</v>
      </c>
      <c r="F26" s="5" t="n">
        <v>45</v>
      </c>
      <c r="G26" s="5" t="s">
        <v>53</v>
      </c>
      <c r="H26" s="5" t="s">
        <v>88</v>
      </c>
      <c r="I26" s="5" t="n">
        <v>3</v>
      </c>
    </row>
    <row r="27" customFormat="false" ht="15" hidden="false" customHeight="false" outlineLevel="0" collapsed="false">
      <c r="A27" s="5" t="s">
        <v>125</v>
      </c>
      <c r="B27" s="5" t="s">
        <v>47</v>
      </c>
      <c r="C27" s="5" t="s">
        <v>126</v>
      </c>
      <c r="D27" s="5" t="n">
        <v>25</v>
      </c>
      <c r="E27" s="5" t="n">
        <v>51.2</v>
      </c>
      <c r="F27" s="5" t="n">
        <v>42</v>
      </c>
      <c r="G27" s="5" t="s">
        <v>53</v>
      </c>
      <c r="H27" s="5" t="s">
        <v>118</v>
      </c>
      <c r="I27" s="5" t="n">
        <v>0</v>
      </c>
    </row>
    <row r="28" customFormat="false" ht="15" hidden="false" customHeight="false" outlineLevel="0" collapsed="false">
      <c r="A28" s="5" t="s">
        <v>127</v>
      </c>
      <c r="B28" s="5" t="s">
        <v>108</v>
      </c>
      <c r="C28" s="5" t="s">
        <v>128</v>
      </c>
      <c r="D28" s="5" t="n">
        <v>22</v>
      </c>
      <c r="E28" s="5" t="n">
        <v>37.4</v>
      </c>
      <c r="F28" s="5" t="n">
        <v>37</v>
      </c>
      <c r="G28" s="5" t="s">
        <v>53</v>
      </c>
      <c r="H28" s="5" t="s">
        <v>118</v>
      </c>
      <c r="I28" s="5" t="n">
        <v>0</v>
      </c>
    </row>
    <row r="29" customFormat="false" ht="15" hidden="false" customHeight="false" outlineLevel="0" collapsed="false">
      <c r="A29" s="5" t="s">
        <v>129</v>
      </c>
      <c r="B29" s="5" t="s">
        <v>52</v>
      </c>
      <c r="C29" s="5" t="s">
        <v>129</v>
      </c>
      <c r="D29" s="5" t="n">
        <v>22</v>
      </c>
      <c r="E29" s="5" t="n">
        <v>40.7</v>
      </c>
      <c r="F29" s="5" t="n">
        <v>37</v>
      </c>
      <c r="G29" s="5" t="s">
        <v>53</v>
      </c>
      <c r="H29" s="5" t="s">
        <v>118</v>
      </c>
      <c r="I29" s="5" t="n">
        <v>0</v>
      </c>
    </row>
    <row r="30" customFormat="false" ht="15" hidden="false" customHeight="false" outlineLevel="0" collapsed="false">
      <c r="A30" s="5" t="s">
        <v>130</v>
      </c>
      <c r="B30" s="5" t="s">
        <v>34</v>
      </c>
      <c r="C30" s="5" t="s">
        <v>131</v>
      </c>
      <c r="D30" s="5" t="n">
        <v>20</v>
      </c>
      <c r="E30" s="5" t="n">
        <v>43</v>
      </c>
      <c r="F30" s="5" t="n">
        <v>33</v>
      </c>
      <c r="G30" s="5" t="s">
        <v>53</v>
      </c>
      <c r="H30" s="5" t="s">
        <v>118</v>
      </c>
      <c r="I30" s="5" t="n">
        <v>0</v>
      </c>
    </row>
    <row r="31" customFormat="false" ht="15" hidden="false" customHeight="false" outlineLevel="0" collapsed="false">
      <c r="A31" s="5" t="s">
        <v>132</v>
      </c>
      <c r="B31" s="5" t="s">
        <v>108</v>
      </c>
      <c r="C31" s="5" t="s">
        <v>133</v>
      </c>
      <c r="D31" s="5" t="n">
        <v>20</v>
      </c>
      <c r="E31" s="5" t="n">
        <v>34</v>
      </c>
      <c r="F31" s="5" t="n">
        <v>33</v>
      </c>
      <c r="G31" s="5" t="s">
        <v>53</v>
      </c>
      <c r="H31" s="5" t="s">
        <v>118</v>
      </c>
      <c r="I31" s="5" t="n">
        <v>0</v>
      </c>
    </row>
    <row r="32" customFormat="false" ht="15" hidden="false" customHeight="false" outlineLevel="0" collapsed="false">
      <c r="A32" s="5" t="s">
        <v>134</v>
      </c>
      <c r="B32" s="5" t="s">
        <v>108</v>
      </c>
      <c r="C32" s="5" t="s">
        <v>135</v>
      </c>
      <c r="D32" s="5" t="n">
        <v>20</v>
      </c>
      <c r="E32" s="5" t="n">
        <v>34</v>
      </c>
      <c r="F32" s="5" t="n">
        <v>33</v>
      </c>
      <c r="G32" s="5" t="s">
        <v>53</v>
      </c>
      <c r="H32" s="5" t="s">
        <v>118</v>
      </c>
      <c r="I32" s="5" t="n">
        <v>0</v>
      </c>
    </row>
    <row r="33" customFormat="false" ht="15" hidden="false" customHeight="false" outlineLevel="0" collapsed="false">
      <c r="A33" s="5" t="s">
        <v>136</v>
      </c>
      <c r="B33" s="5" t="s">
        <v>52</v>
      </c>
      <c r="C33" s="5" t="s">
        <v>137</v>
      </c>
      <c r="D33" s="5" t="n">
        <v>18</v>
      </c>
      <c r="E33" s="5" t="n">
        <v>33.3</v>
      </c>
      <c r="F33" s="5" t="n">
        <v>30</v>
      </c>
      <c r="G33" s="5" t="s">
        <v>53</v>
      </c>
      <c r="H33" s="5" t="s">
        <v>118</v>
      </c>
      <c r="I33" s="5" t="n">
        <v>0</v>
      </c>
    </row>
    <row r="34" customFormat="false" ht="15" hidden="false" customHeight="false" outlineLevel="0" collapsed="false">
      <c r="A34" s="5" t="s">
        <v>138</v>
      </c>
      <c r="B34" s="5" t="s">
        <v>108</v>
      </c>
      <c r="C34" s="5" t="s">
        <v>139</v>
      </c>
      <c r="D34" s="5" t="n">
        <v>18</v>
      </c>
      <c r="E34" s="5" t="n">
        <v>30.6</v>
      </c>
      <c r="F34" s="5" t="n">
        <v>30</v>
      </c>
      <c r="G34" s="5" t="s">
        <v>53</v>
      </c>
      <c r="H34" s="5" t="s">
        <v>118</v>
      </c>
      <c r="I34" s="5" t="n">
        <v>0</v>
      </c>
    </row>
    <row r="35" customFormat="false" ht="15" hidden="false" customHeight="false" outlineLevel="0" collapsed="false">
      <c r="A35" s="5" t="s">
        <v>140</v>
      </c>
      <c r="B35" s="5" t="s">
        <v>52</v>
      </c>
      <c r="C35" s="5" t="s">
        <v>141</v>
      </c>
      <c r="D35" s="5" t="n">
        <v>15</v>
      </c>
      <c r="E35" s="5" t="n">
        <v>27.8</v>
      </c>
      <c r="F35" s="5" t="n">
        <v>25</v>
      </c>
      <c r="G35" s="5" t="s">
        <v>53</v>
      </c>
      <c r="H35" s="5" t="s">
        <v>118</v>
      </c>
      <c r="I35" s="5" t="n">
        <v>0</v>
      </c>
    </row>
    <row r="36" customFormat="false" ht="15" hidden="false" customHeight="false" outlineLevel="0" collapsed="false">
      <c r="A36" s="5" t="s">
        <v>142</v>
      </c>
      <c r="B36" s="5" t="s">
        <v>108</v>
      </c>
      <c r="C36" s="5" t="s">
        <v>143</v>
      </c>
      <c r="D36" s="5" t="n">
        <v>15</v>
      </c>
      <c r="E36" s="5" t="n">
        <v>25.5</v>
      </c>
      <c r="F36" s="5" t="n">
        <v>25</v>
      </c>
      <c r="G36" s="5" t="s">
        <v>53</v>
      </c>
      <c r="H36" s="5" t="s">
        <v>118</v>
      </c>
      <c r="I36" s="5" t="n">
        <v>0</v>
      </c>
    </row>
    <row r="37" customFormat="false" ht="15" hidden="false" customHeight="false" outlineLevel="0" collapsed="false">
      <c r="A37" s="5" t="s">
        <v>144</v>
      </c>
      <c r="B37" s="5" t="s">
        <v>52</v>
      </c>
      <c r="C37" s="5" t="s">
        <v>145</v>
      </c>
      <c r="D37" s="5" t="n">
        <v>12</v>
      </c>
      <c r="E37" s="5" t="n">
        <v>22.2</v>
      </c>
      <c r="F37" s="5" t="n">
        <v>20</v>
      </c>
      <c r="G37" s="5" t="s">
        <v>53</v>
      </c>
      <c r="H37" s="5" t="s">
        <v>118</v>
      </c>
      <c r="I37" s="5" t="n">
        <v>0</v>
      </c>
    </row>
    <row r="39" customFormat="false" ht="15" hidden="false" customHeight="false" outlineLevel="0" collapsed="false">
      <c r="A39" s="7" t="s">
        <v>146</v>
      </c>
    </row>
  </sheetData>
  <conditionalFormatting sqref="D2:D3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2026-07-15T04:48:15Z</dcterms:created>
  <dc:creator>openpyxl</dc:creator>
  <dc:description/>
  <dc:language>en-US</dc:language>
  <cp:lastModifiedBy/>
  <dcterms:modified xsi:type="dcterms:W3CDTF">2026-07-15T04:48:17Z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